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794" firstSheet="2" activeTab="6" autoFilterDateGrouping="1"/>
  </bookViews>
  <sheets>
    <sheet xmlns:r="http://schemas.openxmlformats.org/officeDocument/2006/relationships" name="IK" sheetId="1" state="hidden" r:id="rId1"/>
    <sheet xmlns:r="http://schemas.openxmlformats.org/officeDocument/2006/relationships" name="LotQtyF1" sheetId="2" state="hidden" r:id="rId2"/>
    <sheet xmlns:r="http://schemas.openxmlformats.org/officeDocument/2006/relationships" name="INPUT1" sheetId="3" state="visible" r:id="rId3"/>
    <sheet xmlns:r="http://schemas.openxmlformats.org/officeDocument/2006/relationships" name="MASTER_GW" sheetId="4" state="visible" r:id="rId4"/>
    <sheet xmlns:r="http://schemas.openxmlformats.org/officeDocument/2006/relationships" name="step1" sheetId="5" state="visible" r:id="rId5"/>
    <sheet xmlns:r="http://schemas.openxmlformats.org/officeDocument/2006/relationships" name="chialo" sheetId="6" state="visible" r:id="rId6"/>
    <sheet xmlns:r="http://schemas.openxmlformats.org/officeDocument/2006/relationships" name="tinhmau" sheetId="7" state="visible" r:id="rId7"/>
    <sheet xmlns:r="http://schemas.openxmlformats.org/officeDocument/2006/relationships" name="tinhmau_khongchialo" sheetId="8" state="visible" r:id="rId8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  <definedName name="_xlnm._FilterDatabase" localSheetId="3" hidden="1">'MASTER_GW'!$A$2:$H$90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YYYY-MM-DD HH:MM:SS"/>
    <numFmt numFmtId="171" formatCode="_(&quot;$&quot;\ * #,##0.00_);_(&quot;$&quot;\ * \(#,##0.00\);_(&quot;$&quot;\ * &quot;-&quot;??_);_(@_)"/>
  </numFmts>
  <fonts count="58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1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101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0" fontId="54" fillId="30" borderId="28" pivotButton="0" quotePrefix="0" xfId="0"/>
    <xf numFmtId="0" fontId="0" fillId="0" borderId="28" pivotButton="0" quotePrefix="0" xfId="0"/>
    <xf numFmtId="0" fontId="55" fillId="0" borderId="29" applyAlignment="1" pivotButton="0" quotePrefix="0" xfId="0">
      <alignment horizontal="center" vertical="top"/>
    </xf>
    <xf numFmtId="0" fontId="56" fillId="0" borderId="30" applyAlignment="1" pivotButton="0" quotePrefix="0" xfId="0">
      <alignment horizontal="center" vertical="top"/>
    </xf>
    <xf numFmtId="49" fontId="47" fillId="27" borderId="29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29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29" applyAlignment="1" pivotButton="0" quotePrefix="0" xfId="117">
      <alignment horizontal="center" vertical="center"/>
    </xf>
    <xf numFmtId="0" fontId="47" fillId="27" borderId="29" applyAlignment="1" pivotButton="0" quotePrefix="0" xfId="117">
      <alignment horizontal="center" vertical="center"/>
    </xf>
    <xf numFmtId="1" fontId="47" fillId="27" borderId="29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30" applyAlignment="1" pivotButton="0" quotePrefix="0" xfId="117">
      <alignment horizontal="center" vertical="center"/>
    </xf>
    <xf numFmtId="1" fontId="47" fillId="27" borderId="30" applyAlignment="1" pivotButton="0" quotePrefix="0" xfId="117">
      <alignment horizontal="center" vertical="center" wrapText="1"/>
    </xf>
    <xf numFmtId="1" fontId="51" fillId="27" borderId="30" applyAlignment="1" pivotButton="0" quotePrefix="0" xfId="117">
      <alignment horizontal="center" vertical="center"/>
    </xf>
    <xf numFmtId="0" fontId="47" fillId="27" borderId="30" applyAlignment="1" pivotButton="0" quotePrefix="0" xfId="117">
      <alignment horizontal="center" vertical="center"/>
    </xf>
    <xf numFmtId="49" fontId="47" fillId="27" borderId="30" applyAlignment="1" pivotButton="0" quotePrefix="0" xfId="117">
      <alignment horizontal="center" vertical="center"/>
    </xf>
    <xf numFmtId="0" fontId="57" fillId="0" borderId="35" applyAlignment="1" pivotButton="0" quotePrefix="0" xfId="0">
      <alignment horizontal="center" vertical="top"/>
    </xf>
    <xf numFmtId="170" fontId="0" fillId="0" borderId="0" pivotButton="0" quotePrefix="0" xfId="0"/>
    <xf numFmtId="170" fontId="0" fillId="0" borderId="0" pivotButton="0" quotePrefix="0" xfId="0"/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89">
        <f>SUBSTITUTE(D16, "*", "-")</f>
        <v/>
      </c>
      <c r="B16" s="90">
        <f>IFERROR(VLOOKUP(D16,#REF!, 8, 0), "")</f>
        <v/>
      </c>
      <c r="C16" s="90" t="n"/>
      <c r="D16" s="89" t="inlineStr">
        <is>
          <t>RFOT068V</t>
        </is>
      </c>
      <c r="E16" s="46" t="n"/>
      <c r="F16" s="90" t="n"/>
      <c r="G16" s="90">
        <f>CEILING(IF((F16+20)&lt;101,3,IF((F16+20)*0.03&lt;10,(F16+20)*0.03,10)),1)</f>
        <v/>
      </c>
      <c r="H16" s="90" t="n"/>
      <c r="I16" s="90">
        <f>CEILING(IF((F16+G16+20)&lt;101,3,IF((F16+G16+20)*0.03&lt;10,(F16+G16+20)*0.03,10)),1)</f>
        <v/>
      </c>
      <c r="J16" s="90">
        <f>+IF(F16&lt;3200,13,20)</f>
        <v/>
      </c>
      <c r="K16" s="90" t="n"/>
      <c r="L16" s="90" t="n"/>
      <c r="M16" s="90" t="n">
        <v>0</v>
      </c>
      <c r="N16" s="90" t="n">
        <v>5</v>
      </c>
      <c r="O16" s="90" t="n"/>
      <c r="P16" s="90">
        <f>+SUM(H16:O16)</f>
        <v/>
      </c>
      <c r="Q16" s="90">
        <f>+F16+P16</f>
        <v/>
      </c>
      <c r="R16" s="91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89">
        <f>SUBSTITUTE(D17, "*", "-")</f>
        <v/>
      </c>
      <c r="B17" s="90">
        <f>IFERROR(VLOOKUP(D17,#REF!, 8, 0), "")</f>
        <v/>
      </c>
      <c r="C17" s="90" t="n"/>
      <c r="D17" s="89" t="inlineStr">
        <is>
          <t>RFOT072V</t>
        </is>
      </c>
      <c r="E17" s="46" t="n"/>
      <c r="F17" s="90" t="n"/>
      <c r="G17" s="90">
        <f>CEILING(IF((F17+20)&lt;101,3,IF((F17+20)*0.03&lt;10,(F17+20)*0.03,10)),1)</f>
        <v/>
      </c>
      <c r="H17" s="90" t="n"/>
      <c r="I17" s="90">
        <f>CEILING(IF((F17+G17+20)&lt;101,3,IF((F17+G17+20)*0.03&lt;10,(F17+G17+20)*0.03,10)),1)</f>
        <v/>
      </c>
      <c r="J17" s="90">
        <f>+IF(F17&lt;3200,13,20)</f>
        <v/>
      </c>
      <c r="K17" s="90" t="n"/>
      <c r="L17" s="90" t="n"/>
      <c r="M17" s="90" t="n">
        <v>0</v>
      </c>
      <c r="N17" s="90" t="n">
        <v>5</v>
      </c>
      <c r="O17" s="90" t="n"/>
      <c r="P17" s="90">
        <f>+SUM(H17:O17)</f>
        <v/>
      </c>
      <c r="Q17" s="90">
        <f>+F17+P17</f>
        <v/>
      </c>
      <c r="R17" s="91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89">
        <f>SUBSTITUTE(D18, "*", "-")</f>
        <v/>
      </c>
      <c r="B18" s="90">
        <f>IFERROR(VLOOKUP(D18,#REF!, 8, 0), "")</f>
        <v/>
      </c>
      <c r="C18" s="90" t="n"/>
      <c r="D18" s="89" t="inlineStr">
        <is>
          <t>RFOT056V</t>
        </is>
      </c>
      <c r="E18" s="46" t="n"/>
      <c r="F18" s="90" t="n"/>
      <c r="G18" s="90">
        <f>CEILING(IF((F18+20)&lt;101,3,IF((F18+20)*0.03&lt;10,(F18+20)*0.03,10)),1)</f>
        <v/>
      </c>
      <c r="H18" s="90" t="n"/>
      <c r="I18" s="90">
        <f>CEILING(IF((F18+G18+20)&lt;101,3,IF((F18+G18+20)*0.03&lt;10,(F18+G18+20)*0.03,10)),1)</f>
        <v/>
      </c>
      <c r="J18" s="90">
        <f>+IF(F18&lt;3200,13,20)</f>
        <v/>
      </c>
      <c r="K18" s="90" t="n"/>
      <c r="L18" s="90" t="n"/>
      <c r="M18" s="90" t="n">
        <v>0</v>
      </c>
      <c r="N18" s="90" t="n">
        <v>5</v>
      </c>
      <c r="O18" s="90" t="n"/>
      <c r="P18" s="90">
        <f>+SUM(H18:O18)</f>
        <v/>
      </c>
      <c r="Q18" s="90">
        <f>+F18+P18</f>
        <v/>
      </c>
      <c r="R18" s="91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89">
        <f>SUBSTITUTE(D19, "*", "-")</f>
        <v/>
      </c>
      <c r="B19" s="90">
        <f>IFERROR(VLOOKUP(D19,#REF!, 8, 0), "")</f>
        <v/>
      </c>
      <c r="C19" s="90" t="n"/>
      <c r="D19" s="89" t="inlineStr">
        <is>
          <t>RFOT052V</t>
        </is>
      </c>
      <c r="E19" s="46" t="n"/>
      <c r="F19" s="90" t="n"/>
      <c r="G19" s="90">
        <f>CEILING(IF((F19+20)&lt;101,3,IF((F19+20)*0.03&lt;10,(F19+20)*0.03,10)),1)</f>
        <v/>
      </c>
      <c r="H19" s="90" t="n"/>
      <c r="I19" s="90">
        <f>CEILING(IF((F19+G19+20)&lt;101,3,IF((F19+G19+20)*0.03&lt;10,(F19+G19+20)*0.03,10)),1)</f>
        <v/>
      </c>
      <c r="J19" s="90">
        <f>+IF(F19&lt;3200,13,20)</f>
        <v/>
      </c>
      <c r="K19" s="90" t="n"/>
      <c r="L19" s="90" t="n"/>
      <c r="M19" s="90" t="n">
        <v>0</v>
      </c>
      <c r="N19" s="90" t="n">
        <v>5</v>
      </c>
      <c r="O19" s="90" t="n"/>
      <c r="P19" s="90">
        <f>+SUM(H19:O19)</f>
        <v/>
      </c>
      <c r="Q19" s="90">
        <f>+F19+P19</f>
        <v/>
      </c>
      <c r="R19" s="91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89">
        <f>SUBSTITUTE(D20, "*", "-")</f>
        <v/>
      </c>
      <c r="B20" s="90">
        <f>IFERROR(VLOOKUP(D20,#REF!, 8, 0), "")</f>
        <v/>
      </c>
      <c r="C20" s="90" t="n"/>
      <c r="D20" s="89" t="inlineStr">
        <is>
          <t>RFOT064V</t>
        </is>
      </c>
      <c r="E20" s="46" t="n"/>
      <c r="F20" s="90" t="n"/>
      <c r="G20" s="90">
        <f>CEILING(IF((F20+20)&lt;101,3,IF((F20+20)*0.03&lt;10,(F20+20)*0.03,10)),1)</f>
        <v/>
      </c>
      <c r="H20" s="90" t="n"/>
      <c r="I20" s="90">
        <f>CEILING(IF((F20+G20+20)&lt;101,3,IF((F20+G20+20)*0.03&lt;10,(F20+G20+20)*0.03,10)),1)</f>
        <v/>
      </c>
      <c r="J20" s="90">
        <f>+IF(F20&lt;3200,13,20)</f>
        <v/>
      </c>
      <c r="K20" s="90" t="n"/>
      <c r="L20" s="90" t="n"/>
      <c r="M20" s="90" t="n">
        <v>0</v>
      </c>
      <c r="N20" s="90" t="n">
        <v>5</v>
      </c>
      <c r="O20" s="90" t="n"/>
      <c r="P20" s="90">
        <f>+SUM(H20:O20)</f>
        <v/>
      </c>
      <c r="Q20" s="90">
        <f>+F20+P20</f>
        <v/>
      </c>
      <c r="R20" s="91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89">
        <f>SUBSTITUTE(D21, "*", "-")</f>
        <v/>
      </c>
      <c r="B21" s="90">
        <f>IFERROR(VLOOKUP(D21,#REF!, 8, 0), "")</f>
        <v/>
      </c>
      <c r="C21" s="90" t="n"/>
      <c r="D21" s="89" t="inlineStr">
        <is>
          <t>RFOT055V</t>
        </is>
      </c>
      <c r="E21" s="46" t="n"/>
      <c r="F21" s="90" t="n"/>
      <c r="G21" s="90">
        <f>CEILING(IF((F21+20)&lt;101,3,IF((F21+20)*0.03&lt;10,(F21+20)*0.03,10)),1)</f>
        <v/>
      </c>
      <c r="H21" s="90" t="n"/>
      <c r="I21" s="90">
        <f>CEILING(IF((F21+G21+20)&lt;101,3,IF((F21+G21+20)*0.03&lt;10,(F21+G21+20)*0.03,10)),1)</f>
        <v/>
      </c>
      <c r="J21" s="90">
        <f>+IF(F21&lt;3200,13,20)</f>
        <v/>
      </c>
      <c r="K21" s="90" t="n"/>
      <c r="L21" s="90" t="n"/>
      <c r="M21" s="90" t="n">
        <v>0</v>
      </c>
      <c r="N21" s="90" t="n">
        <v>5</v>
      </c>
      <c r="O21" s="90" t="n"/>
      <c r="P21" s="90">
        <f>+SUM(H21:O21)</f>
        <v/>
      </c>
      <c r="Q21" s="90">
        <f>+F21+P21</f>
        <v/>
      </c>
      <c r="R21" s="91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89">
        <f>SUBSTITUTE(D22, "*", "-")</f>
        <v/>
      </c>
      <c r="B22" s="90">
        <f>IFERROR(VLOOKUP(D22,#REF!, 8, 0), "")</f>
        <v/>
      </c>
      <c r="C22" s="90" t="n"/>
      <c r="D22" s="89" t="inlineStr">
        <is>
          <t>RFOT063V</t>
        </is>
      </c>
      <c r="E22" s="46" t="n"/>
      <c r="F22" s="90" t="n"/>
      <c r="G22" s="90">
        <f>CEILING(IF((F22+20)&lt;101,3,IF((F22+20)*0.03&lt;10,(F22+20)*0.03,10)),1)</f>
        <v/>
      </c>
      <c r="H22" s="90" t="n"/>
      <c r="I22" s="90">
        <f>CEILING(IF((F22+G22+20)&lt;101,3,IF((F22+G22+20)*0.03&lt;10,(F22+G22+20)*0.03,10)),1)</f>
        <v/>
      </c>
      <c r="J22" s="90">
        <f>+IF(F22&lt;3200,13,20)</f>
        <v/>
      </c>
      <c r="K22" s="90" t="n"/>
      <c r="L22" s="90" t="n"/>
      <c r="M22" s="90" t="n">
        <v>0</v>
      </c>
      <c r="N22" s="90" t="n">
        <v>5</v>
      </c>
      <c r="O22" s="90" t="n"/>
      <c r="P22" s="90">
        <f>+SUM(H22:O22)</f>
        <v/>
      </c>
      <c r="Q22" s="90">
        <f>+F22+P22</f>
        <v/>
      </c>
      <c r="R22" s="91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89">
        <f>SUBSTITUTE(D23, "*", "-")</f>
        <v/>
      </c>
      <c r="B23" s="90">
        <f>IFERROR(VLOOKUP(D23,#REF!, 8, 0), "")</f>
        <v/>
      </c>
      <c r="C23" s="90" t="n"/>
      <c r="D23" s="89" t="inlineStr">
        <is>
          <t>RFOT071V</t>
        </is>
      </c>
      <c r="E23" s="46" t="n"/>
      <c r="F23" s="90" t="n"/>
      <c r="G23" s="90">
        <f>CEILING(IF((F23+20)&lt;101,3,IF((F23+20)*0.03&lt;10,(F23+20)*0.03,10)),1)</f>
        <v/>
      </c>
      <c r="H23" s="90" t="n"/>
      <c r="I23" s="90">
        <f>CEILING(IF((F23+G23+20)&lt;101,3,IF((F23+G23+20)*0.03&lt;10,(F23+G23+20)*0.03,10)),1)</f>
        <v/>
      </c>
      <c r="J23" s="90">
        <f>+IF(F23&lt;3200,13,20)</f>
        <v/>
      </c>
      <c r="K23" s="90" t="n"/>
      <c r="L23" s="90" t="n"/>
      <c r="M23" s="90" t="n">
        <v>0</v>
      </c>
      <c r="N23" s="90" t="n">
        <v>5</v>
      </c>
      <c r="O23" s="90" t="n"/>
      <c r="P23" s="90">
        <f>+SUM(H23:O23)</f>
        <v/>
      </c>
      <c r="Q23" s="90">
        <f>+F23+P23</f>
        <v/>
      </c>
      <c r="R23" s="91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89">
        <f>SUBSTITUTE(D24, "*", "-")</f>
        <v/>
      </c>
      <c r="B24" s="90">
        <f>IFERROR(VLOOKUP(D24,#REF!, 8, 0), "")</f>
        <v/>
      </c>
      <c r="C24" s="90" t="n"/>
      <c r="D24" s="89" t="inlineStr">
        <is>
          <t>RFOT054V</t>
        </is>
      </c>
      <c r="E24" s="46" t="n"/>
      <c r="F24" s="90" t="n"/>
      <c r="G24" s="90">
        <f>CEILING(IF((F24+20)&lt;101,3,IF((F24+20)*0.03&lt;10,(F24+20)*0.03,10)),1)</f>
        <v/>
      </c>
      <c r="H24" s="90" t="n"/>
      <c r="I24" s="90">
        <f>CEILING(IF((F24+G24+20)&lt;101,3,IF((F24+G24+20)*0.03&lt;10,(F24+G24+20)*0.03,10)),1)</f>
        <v/>
      </c>
      <c r="J24" s="90">
        <f>+IF(F24&lt;3200,13,20)</f>
        <v/>
      </c>
      <c r="K24" s="90" t="n"/>
      <c r="L24" s="90" t="n"/>
      <c r="M24" s="90" t="n">
        <v>0</v>
      </c>
      <c r="N24" s="90" t="n">
        <v>5</v>
      </c>
      <c r="O24" s="90" t="n"/>
      <c r="P24" s="90">
        <f>+SUM(H24:O24)</f>
        <v/>
      </c>
      <c r="Q24" s="90">
        <f>+F24+P24</f>
        <v/>
      </c>
      <c r="R24" s="91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89">
        <f>SUBSTITUTE(D25, "*", "-")</f>
        <v/>
      </c>
      <c r="B25" s="90">
        <f>IFERROR(VLOOKUP(D25,#REF!, 8, 0), "")</f>
        <v/>
      </c>
      <c r="C25" s="90" t="n"/>
      <c r="D25" s="89" t="inlineStr">
        <is>
          <t>RFOT062V</t>
        </is>
      </c>
      <c r="E25" s="46" t="n"/>
      <c r="F25" s="90" t="n"/>
      <c r="G25" s="90">
        <f>CEILING(IF((F25+20)&lt;101,3,IF((F25+20)*0.03&lt;10,(F25+20)*0.03,10)),1)</f>
        <v/>
      </c>
      <c r="H25" s="90" t="n"/>
      <c r="I25" s="90">
        <f>CEILING(IF((F25+G25+20)&lt;101,3,IF((F25+G25+20)*0.03&lt;10,(F25+G25+20)*0.03,10)),1)</f>
        <v/>
      </c>
      <c r="J25" s="90">
        <f>+IF(F25&lt;3200,13,20)</f>
        <v/>
      </c>
      <c r="K25" s="90" t="n"/>
      <c r="L25" s="90" t="n"/>
      <c r="M25" s="90" t="n">
        <v>0</v>
      </c>
      <c r="N25" s="90" t="n">
        <v>5</v>
      </c>
      <c r="O25" s="90" t="n"/>
      <c r="P25" s="90">
        <f>+SUM(H25:O25)</f>
        <v/>
      </c>
      <c r="Q25" s="90">
        <f>+F25+P25</f>
        <v/>
      </c>
      <c r="R25" s="91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89">
        <f>SUBSTITUTE(D26, "*", "-")</f>
        <v/>
      </c>
      <c r="B26" s="90">
        <f>IFERROR(VLOOKUP(D26,#REF!, 8, 0), "")</f>
        <v/>
      </c>
      <c r="C26" s="90" t="n"/>
      <c r="D26" s="89" t="inlineStr">
        <is>
          <t>RFOT067V</t>
        </is>
      </c>
      <c r="E26" s="46" t="n"/>
      <c r="F26" s="90" t="n"/>
      <c r="G26" s="90">
        <f>CEILING(IF((F26+20)&lt;101,3,IF((F26+20)*0.03&lt;10,(F26+20)*0.03,10)),1)</f>
        <v/>
      </c>
      <c r="H26" s="90" t="n"/>
      <c r="I26" s="90">
        <f>CEILING(IF((F26+G26+20)&lt;101,3,IF((F26+G26+20)*0.03&lt;10,(F26+G26+20)*0.03,10)),1)</f>
        <v/>
      </c>
      <c r="J26" s="90">
        <f>+IF(F26&lt;3200,13,20)</f>
        <v/>
      </c>
      <c r="K26" s="90" t="n"/>
      <c r="L26" s="90" t="n"/>
      <c r="M26" s="90" t="n">
        <v>0</v>
      </c>
      <c r="N26" s="90" t="n">
        <v>5</v>
      </c>
      <c r="O26" s="90" t="n"/>
      <c r="P26" s="90">
        <f>+SUM(H26:O26)</f>
        <v/>
      </c>
      <c r="Q26" s="90">
        <f>+F26+P26</f>
        <v/>
      </c>
      <c r="R26" s="91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89">
        <f>SUBSTITUTE(D27, "*", "-")</f>
        <v/>
      </c>
      <c r="B27" s="90">
        <f>IFERROR(VLOOKUP(D27,#REF!, 8, 0), "")</f>
        <v/>
      </c>
      <c r="C27" s="90" t="n"/>
      <c r="D27" s="89" t="inlineStr">
        <is>
          <t>RFOT066V</t>
        </is>
      </c>
      <c r="E27" s="46" t="n"/>
      <c r="F27" s="90" t="n"/>
      <c r="G27" s="90">
        <f>CEILING(IF((F27+20)&lt;101,3,IF((F27+20)*0.03&lt;10,(F27+20)*0.03,10)),1)</f>
        <v/>
      </c>
      <c r="H27" s="90" t="n"/>
      <c r="I27" s="90">
        <f>CEILING(IF((F27+G27+20)&lt;101,3,IF((F27+G27+20)*0.03&lt;10,(F27+G27+20)*0.03,10)),1)</f>
        <v/>
      </c>
      <c r="J27" s="90">
        <f>+IF(F27&lt;3200,13,20)</f>
        <v/>
      </c>
      <c r="K27" s="90" t="n"/>
      <c r="L27" s="90" t="n"/>
      <c r="M27" s="90" t="n">
        <v>0</v>
      </c>
      <c r="N27" s="90" t="n">
        <v>5</v>
      </c>
      <c r="O27" s="90" t="n"/>
      <c r="P27" s="90">
        <f>+SUM(H27:O27)</f>
        <v/>
      </c>
      <c r="Q27" s="90">
        <f>+F27+P27</f>
        <v/>
      </c>
      <c r="R27" s="91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89">
        <f>SUBSTITUTE(D28, "*", "-")</f>
        <v/>
      </c>
      <c r="B28" s="90">
        <f>IFERROR(VLOOKUP(D28,#REF!, 8, 0), "")</f>
        <v/>
      </c>
      <c r="C28" s="90" t="n"/>
      <c r="D28" s="89" t="inlineStr">
        <is>
          <t>RFOT327V</t>
        </is>
      </c>
      <c r="E28" s="46" t="n"/>
      <c r="F28" s="90" t="n"/>
      <c r="G28" s="90">
        <f>CEILING(IF((F28+20)&lt;101,3,IF((F28+20)*0.03&lt;10,(F28+20)*0.03,10)),1)</f>
        <v/>
      </c>
      <c r="H28" s="90" t="n"/>
      <c r="I28" s="90">
        <f>CEILING(IF((F28+G28+20)&lt;101,3,IF((F28+G28+20)*0.03&lt;10,(F28+G28+20)*0.03,10)),1)</f>
        <v/>
      </c>
      <c r="J28" s="90">
        <f>+IF(F28&lt;3200,13,20)</f>
        <v/>
      </c>
      <c r="K28" s="90" t="n"/>
      <c r="L28" s="90" t="n"/>
      <c r="M28" s="90" t="n">
        <v>0</v>
      </c>
      <c r="N28" s="90" t="n">
        <v>5</v>
      </c>
      <c r="O28" s="90" t="n"/>
      <c r="P28" s="90">
        <f>+SUM(H28:O28)</f>
        <v/>
      </c>
      <c r="Q28" s="90">
        <f>+F28+P28</f>
        <v/>
      </c>
      <c r="R28" s="91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89">
        <f>SUBSTITUTE(D29, "*", "-")</f>
        <v/>
      </c>
      <c r="B29" s="90">
        <f>IFERROR(VLOOKUP(D29,#REF!, 8, 0), "")</f>
        <v/>
      </c>
      <c r="C29" s="90" t="n"/>
      <c r="D29" s="89" t="inlineStr">
        <is>
          <t>RFOT070V</t>
        </is>
      </c>
      <c r="E29" s="46" t="n"/>
      <c r="F29" s="90" t="n"/>
      <c r="G29" s="90">
        <f>CEILING(IF((F29+20)&lt;101,3,IF((F29+20)*0.03&lt;10,(F29+20)*0.03,10)),1)</f>
        <v/>
      </c>
      <c r="H29" s="90" t="n"/>
      <c r="I29" s="90">
        <f>CEILING(IF((F29+G29+20)&lt;101,3,IF((F29+G29+20)*0.03&lt;10,(F29+G29+20)*0.03,10)),1)</f>
        <v/>
      </c>
      <c r="J29" s="90">
        <f>+IF(F29&lt;3200,13,20)</f>
        <v/>
      </c>
      <c r="K29" s="90" t="n"/>
      <c r="L29" s="90" t="n"/>
      <c r="M29" s="90" t="n">
        <v>0</v>
      </c>
      <c r="N29" s="90" t="n">
        <v>5</v>
      </c>
      <c r="O29" s="90" t="n"/>
      <c r="P29" s="90">
        <f>+SUM(H29:O29)</f>
        <v/>
      </c>
      <c r="Q29" s="90">
        <f>+F29+P29</f>
        <v/>
      </c>
      <c r="R29" s="91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89">
        <f>SUBSTITUTE(D30, "*", "-")</f>
        <v/>
      </c>
      <c r="B30" s="90">
        <f>IFERROR(VLOOKUP(D30,#REF!, 8, 0), "")</f>
        <v/>
      </c>
      <c r="C30" s="90" t="n"/>
      <c r="D30" s="89" t="inlineStr">
        <is>
          <t>RFOT051V</t>
        </is>
      </c>
      <c r="E30" s="46" t="n"/>
      <c r="F30" s="90" t="n"/>
      <c r="G30" s="90">
        <f>CEILING(IF((F30+20)&lt;101,3,IF((F30+20)*0.03&lt;10,(F30+20)*0.03,10)),1)</f>
        <v/>
      </c>
      <c r="H30" s="90" t="n"/>
      <c r="I30" s="90">
        <f>CEILING(IF((F30+G30+20)&lt;101,3,IF((F30+G30+20)*0.03&lt;10,(F30+G30+20)*0.03,10)),1)</f>
        <v/>
      </c>
      <c r="J30" s="90">
        <f>+IF(F30&lt;3200,13,20)</f>
        <v/>
      </c>
      <c r="K30" s="90" t="n"/>
      <c r="L30" s="90" t="n"/>
      <c r="M30" s="90" t="n">
        <v>0</v>
      </c>
      <c r="N30" s="90" t="n">
        <v>5</v>
      </c>
      <c r="O30" s="90" t="n"/>
      <c r="P30" s="90">
        <f>+SUM(H30:O30)</f>
        <v/>
      </c>
      <c r="Q30" s="90">
        <f>+F30+P30</f>
        <v/>
      </c>
      <c r="R30" s="91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89">
        <f>SUBSTITUTE(D31, "*", "-")</f>
        <v/>
      </c>
      <c r="B31" s="90">
        <f>IFERROR(VLOOKUP(D31,#REF!, 8, 0), "")</f>
        <v/>
      </c>
      <c r="C31" s="90" t="n"/>
      <c r="D31" s="89" t="inlineStr">
        <is>
          <t>RFOT325V</t>
        </is>
      </c>
      <c r="E31" s="46" t="n"/>
      <c r="F31" s="90" t="n"/>
      <c r="G31" s="90">
        <f>CEILING(IF((F31+20)&lt;101,3,IF((F31+20)*0.03&lt;10,(F31+20)*0.03,10)),1)</f>
        <v/>
      </c>
      <c r="H31" s="90" t="n"/>
      <c r="I31" s="90">
        <f>CEILING(IF((F31+G31+20)&lt;101,3,IF((F31+G31+20)*0.03&lt;10,(F31+G31+20)*0.03,10)),1)</f>
        <v/>
      </c>
      <c r="J31" s="90">
        <f>+IF(F31&lt;3200,13,20)</f>
        <v/>
      </c>
      <c r="K31" s="90" t="n"/>
      <c r="L31" s="90" t="n"/>
      <c r="M31" s="90" t="n">
        <v>0</v>
      </c>
      <c r="N31" s="90" t="n">
        <v>5</v>
      </c>
      <c r="O31" s="90" t="n"/>
      <c r="P31" s="90">
        <f>+SUM(H31:O31)</f>
        <v/>
      </c>
      <c r="Q31" s="90">
        <f>+F31+P31</f>
        <v/>
      </c>
      <c r="R31" s="91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89">
        <f>SUBSTITUTE(D32, "*", "-")</f>
        <v/>
      </c>
      <c r="B32" s="90">
        <f>IFERROR(VLOOKUP(D32,#REF!, 8, 0), "")</f>
        <v/>
      </c>
      <c r="C32" s="90" t="n"/>
      <c r="D32" s="89" t="inlineStr">
        <is>
          <t>RFOT058V</t>
        </is>
      </c>
      <c r="E32" s="46" t="n"/>
      <c r="F32" s="90" t="n"/>
      <c r="G32" s="90">
        <f>CEILING(IF((F32+20)&lt;101,3,IF((F32+20)*0.03&lt;10,(F32+20)*0.03,10)),1)</f>
        <v/>
      </c>
      <c r="H32" s="90" t="n"/>
      <c r="I32" s="90">
        <f>CEILING(IF((F32+G32+20)&lt;101,3,IF((F32+G32+20)*0.03&lt;10,(F32+G32+20)*0.03,10)),1)</f>
        <v/>
      </c>
      <c r="J32" s="90">
        <f>+IF(F32&lt;3200,13,20)</f>
        <v/>
      </c>
      <c r="K32" s="90" t="n"/>
      <c r="L32" s="90" t="n"/>
      <c r="M32" s="90" t="n">
        <v>0</v>
      </c>
      <c r="N32" s="90" t="n">
        <v>5</v>
      </c>
      <c r="O32" s="90" t="n"/>
      <c r="P32" s="90">
        <f>+SUM(H32:O32)</f>
        <v/>
      </c>
      <c r="Q32" s="90">
        <f>+F32+P32</f>
        <v/>
      </c>
      <c r="R32" s="91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89">
        <f>SUBSTITUTE(D33, "*", "-")</f>
        <v/>
      </c>
      <c r="B33" s="90">
        <f>IFERROR(VLOOKUP(D33,#REF!, 8, 0), "")</f>
        <v/>
      </c>
      <c r="C33" s="90" t="n"/>
      <c r="D33" s="89" t="inlineStr">
        <is>
          <t>RFOT030V</t>
        </is>
      </c>
      <c r="E33" s="46" t="n"/>
      <c r="F33" s="90" t="n"/>
      <c r="G33" s="90">
        <f>CEILING(IF((F33+20)&lt;101,3,IF((F33+20)*0.03&lt;10,(F33+20)*0.03,10)),1)</f>
        <v/>
      </c>
      <c r="H33" s="90" t="n"/>
      <c r="I33" s="90">
        <f>CEILING(IF((F33+G33+20)&lt;101,3,IF((F33+G33+20)*0.03&lt;10,(F33+G33+20)*0.03,10)),1)</f>
        <v/>
      </c>
      <c r="J33" s="90">
        <f>+IF(F33&lt;3200,13,20)</f>
        <v/>
      </c>
      <c r="K33" s="90" t="n"/>
      <c r="L33" s="90" t="n"/>
      <c r="M33" s="90" t="n">
        <v>0</v>
      </c>
      <c r="N33" s="90" t="n">
        <v>5</v>
      </c>
      <c r="O33" s="90" t="n"/>
      <c r="P33" s="90">
        <f>+SUM(H33:O33)</f>
        <v/>
      </c>
      <c r="Q33" s="90">
        <f>+F33+P33</f>
        <v/>
      </c>
      <c r="R33" s="91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89">
        <f>SUBSTITUTE(D34, "*", "-")</f>
        <v/>
      </c>
      <c r="B34" s="90">
        <f>IFERROR(VLOOKUP(D34,#REF!, 8, 0), "")</f>
        <v/>
      </c>
      <c r="C34" s="90" t="n"/>
      <c r="D34" s="89" t="inlineStr">
        <is>
          <t>RFOT031V</t>
        </is>
      </c>
      <c r="E34" s="46" t="n"/>
      <c r="F34" s="90" t="n"/>
      <c r="G34" s="90">
        <f>CEILING(IF((F34+20)&lt;101,3,IF((F34+20)*0.03&lt;10,(F34+20)*0.03,10)),1)</f>
        <v/>
      </c>
      <c r="H34" s="90" t="n"/>
      <c r="I34" s="90">
        <f>CEILING(IF((F34+G34+20)&lt;101,3,IF((F34+G34+20)*0.03&lt;10,(F34+G34+20)*0.03,10)),1)</f>
        <v/>
      </c>
      <c r="J34" s="90">
        <f>+IF(F34&lt;3200,13,20)</f>
        <v/>
      </c>
      <c r="K34" s="90" t="n"/>
      <c r="L34" s="90" t="n"/>
      <c r="M34" s="90" t="n">
        <v>0</v>
      </c>
      <c r="N34" s="90" t="n">
        <v>5</v>
      </c>
      <c r="O34" s="90" t="n"/>
      <c r="P34" s="90">
        <f>+SUM(H34:O34)</f>
        <v/>
      </c>
      <c r="Q34" s="90">
        <f>+F34+P34</f>
        <v/>
      </c>
      <c r="R34" s="91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89">
        <f>SUBSTITUTE(D35, "*", "-")</f>
        <v/>
      </c>
      <c r="B35" s="90">
        <f>IFERROR(VLOOKUP(D35,#REF!, 8, 0), "")</f>
        <v/>
      </c>
      <c r="C35" s="90" t="n"/>
      <c r="D35" s="89" t="inlineStr">
        <is>
          <t>RFOT326V</t>
        </is>
      </c>
      <c r="E35" s="46" t="n"/>
      <c r="F35" s="90" t="n"/>
      <c r="G35" s="90">
        <f>CEILING(IF((F35+20)&lt;101,3,IF((F35+20)*0.03&lt;10,(F35+20)*0.03,10)),1)</f>
        <v/>
      </c>
      <c r="H35" s="90" t="n"/>
      <c r="I35" s="90">
        <f>CEILING(IF((F35+G35+20)&lt;101,3,IF((F35+G35+20)*0.03&lt;10,(F35+G35+20)*0.03,10)),1)</f>
        <v/>
      </c>
      <c r="J35" s="90">
        <f>+IF(F35&lt;3200,13,20)</f>
        <v/>
      </c>
      <c r="K35" s="90" t="n"/>
      <c r="L35" s="90" t="n"/>
      <c r="M35" s="90" t="n">
        <v>0</v>
      </c>
      <c r="N35" s="90" t="n">
        <v>5</v>
      </c>
      <c r="O35" s="90" t="n"/>
      <c r="P35" s="90">
        <f>+SUM(H35:O35)</f>
        <v/>
      </c>
      <c r="Q35" s="90">
        <f>+F35+P35</f>
        <v/>
      </c>
      <c r="R35" s="91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89">
        <f>SUBSTITUTE(D36, "*", "-")</f>
        <v/>
      </c>
      <c r="B36" s="90">
        <f>IFERROR(VLOOKUP(D36,#REF!, 8, 0), "")</f>
        <v/>
      </c>
      <c r="C36" s="90" t="n"/>
      <c r="D36" s="89" t="inlineStr">
        <is>
          <t>RFOT032V</t>
        </is>
      </c>
      <c r="E36" s="46" t="n"/>
      <c r="F36" s="90" t="n"/>
      <c r="G36" s="90">
        <f>CEILING(IF((F36+20)&lt;101,3,IF((F36+20)*0.03&lt;10,(F36+20)*0.03,10)),1)</f>
        <v/>
      </c>
      <c r="H36" s="90" t="n"/>
      <c r="I36" s="90">
        <f>CEILING(IF((F36+G36+20)&lt;101,3,IF((F36+G36+20)*0.03&lt;10,(F36+G36+20)*0.03,10)),1)</f>
        <v/>
      </c>
      <c r="J36" s="90">
        <f>+IF(F36&lt;3200,13,20)</f>
        <v/>
      </c>
      <c r="K36" s="90" t="n"/>
      <c r="L36" s="90" t="n"/>
      <c r="M36" s="90" t="n">
        <v>0</v>
      </c>
      <c r="N36" s="90" t="n">
        <v>5</v>
      </c>
      <c r="O36" s="90" t="n"/>
      <c r="P36" s="90">
        <f>+SUM(H36:O36)</f>
        <v/>
      </c>
      <c r="Q36" s="90">
        <f>+F36+P36</f>
        <v/>
      </c>
      <c r="R36" s="91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89">
        <f>SUBSTITUTE(D37, "*", "-")</f>
        <v/>
      </c>
      <c r="B37" s="90">
        <f>IFERROR(VLOOKUP(D37,#REF!, 8, 0), "")</f>
        <v/>
      </c>
      <c r="C37" s="90" t="n"/>
      <c r="D37" s="89" t="inlineStr">
        <is>
          <t>RFOT050V</t>
        </is>
      </c>
      <c r="E37" s="46" t="n"/>
      <c r="F37" s="90" t="n"/>
      <c r="G37" s="90">
        <f>CEILING(IF((F37+20)&lt;101,3,IF((F37+20)*0.03&lt;10,(F37+20)*0.03,10)),1)</f>
        <v/>
      </c>
      <c r="H37" s="90" t="n"/>
      <c r="I37" s="90">
        <f>CEILING(IF((F37+G37+20)&lt;101,3,IF((F37+G37+20)*0.03&lt;10,(F37+G37+20)*0.03,10)),1)</f>
        <v/>
      </c>
      <c r="J37" s="90">
        <f>+IF(F37&lt;3200,13,20)</f>
        <v/>
      </c>
      <c r="K37" s="90" t="n"/>
      <c r="L37" s="90" t="n"/>
      <c r="M37" s="90" t="n">
        <v>0</v>
      </c>
      <c r="N37" s="90" t="n">
        <v>5</v>
      </c>
      <c r="O37" s="90" t="n"/>
      <c r="P37" s="90">
        <f>+SUM(H37:O37)</f>
        <v/>
      </c>
      <c r="Q37" s="90">
        <f>+F37+P37</f>
        <v/>
      </c>
      <c r="R37" s="91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89" t="n"/>
      <c r="B38" s="90" t="n"/>
      <c r="C38" s="90" t="n"/>
      <c r="D38" s="89" t="n"/>
      <c r="E38" s="46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  <c r="P38" s="90" t="n"/>
      <c r="Q38" s="90" t="n"/>
      <c r="R38" s="91" t="n"/>
      <c r="S38" s="46" t="n"/>
      <c r="T38" s="42" t="n"/>
      <c r="U38" s="42" t="n"/>
    </row>
    <row r="39" ht="15" customHeight="1">
      <c r="A39" s="89">
        <f>SUBSTITUTE(D39, "*", "-")</f>
        <v/>
      </c>
      <c r="B39" s="90">
        <f>IFERROR(VLOOKUP(D39,#REF!, 8, 0), "")</f>
        <v/>
      </c>
      <c r="C39" s="90" t="n"/>
      <c r="D39" s="89" t="inlineStr">
        <is>
          <t>RS*A40G07SQ</t>
        </is>
      </c>
      <c r="E39" s="49" t="inlineStr">
        <is>
          <t>200401VA</t>
        </is>
      </c>
      <c r="F39" s="90" t="n"/>
      <c r="G39" s="90">
        <f>CEILING(IF((F39+19)&lt;101,3,IF((F39+19)*0.03&lt;10,(F39+19)*0.03,10)),1)</f>
        <v/>
      </c>
      <c r="H39" s="90" t="n"/>
      <c r="I39" s="90">
        <f>CEILING(IF((F39+G39+19)&lt;101,3,IF((F39+G39+19)*0.03&lt;10,(F39+G39+19)*0.03,10)),1)</f>
        <v/>
      </c>
      <c r="J39" s="90" t="n">
        <v>13</v>
      </c>
      <c r="K39" s="90" t="n"/>
      <c r="L39" s="90" t="n"/>
      <c r="M39" s="90" t="n">
        <v>1</v>
      </c>
      <c r="N39" s="90" t="n">
        <v>5</v>
      </c>
      <c r="O39" s="90" t="n"/>
      <c r="P39" s="90">
        <f>+SUM(H39:O39)</f>
        <v/>
      </c>
      <c r="Q39" s="90">
        <f>+F39+P39</f>
        <v/>
      </c>
      <c r="R39" s="91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89">
        <f>SUBSTITUTE(D40, "*", "-")</f>
        <v/>
      </c>
      <c r="B40" s="90">
        <f>IFERROR(VLOOKUP(D40,#REF!, 8, 0), "")</f>
        <v/>
      </c>
      <c r="C40" s="90" t="n"/>
      <c r="D40" s="89" t="inlineStr">
        <is>
          <t>RS*A40G10SQ</t>
        </is>
      </c>
      <c r="E40" s="49" t="inlineStr">
        <is>
          <t>200401VB</t>
        </is>
      </c>
      <c r="F40" s="90" t="n"/>
      <c r="G40" s="90">
        <f>CEILING(IF((F40+19)&lt;101,3,IF((F40+19)*0.03&lt;10,(F40+19)*0.03,10)),1)</f>
        <v/>
      </c>
      <c r="H40" s="90" t="n"/>
      <c r="I40" s="90">
        <f>CEILING(IF((F40+G40+19)&lt;101,3,IF((F40+G40+19)*0.03&lt;10,(F40+G40+19)*0.03,10)),1)</f>
        <v/>
      </c>
      <c r="J40" s="90" t="n">
        <v>13</v>
      </c>
      <c r="K40" s="90" t="n"/>
      <c r="L40" s="90" t="n"/>
      <c r="M40" s="90" t="n">
        <v>1</v>
      </c>
      <c r="N40" s="90" t="n">
        <v>5</v>
      </c>
      <c r="O40" s="90" t="n"/>
      <c r="P40" s="90">
        <f>+SUM(H40:O40)</f>
        <v/>
      </c>
      <c r="Q40" s="90">
        <f>+F40+P40</f>
        <v/>
      </c>
      <c r="R40" s="91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89">
        <f>SUBSTITUTE(D41, "*", "-")</f>
        <v/>
      </c>
      <c r="B41" s="90">
        <f>IFERROR(VLOOKUP(D41,#REF!, 8, 0), "")</f>
        <v/>
      </c>
      <c r="C41" s="90" t="n"/>
      <c r="D41" s="89" t="inlineStr">
        <is>
          <t>RS*A40G16AQZ</t>
        </is>
      </c>
      <c r="E41" s="49" t="inlineStr">
        <is>
          <t>200401VC</t>
        </is>
      </c>
      <c r="F41" s="90" t="n"/>
      <c r="G41" s="90">
        <f>CEILING(IF((F41+19)&lt;101,3,IF((F41+19)*0.03&lt;10,(F41+19)*0.03,10)),1)</f>
        <v/>
      </c>
      <c r="H41" s="90" t="n"/>
      <c r="I41" s="90">
        <f>CEILING(IF((F41+G41+19)&lt;101,3,IF((F41+G41+19)*0.03&lt;10,(F41+G41+19)*0.03,10)),1)</f>
        <v/>
      </c>
      <c r="J41" s="90" t="n">
        <v>13</v>
      </c>
      <c r="K41" s="90" t="n"/>
      <c r="L41" s="90" t="n"/>
      <c r="M41" s="90" t="n">
        <v>1</v>
      </c>
      <c r="N41" s="90" t="n">
        <v>5</v>
      </c>
      <c r="O41" s="90" t="n"/>
      <c r="P41" s="90">
        <f>+SUM(H41:O41)</f>
        <v/>
      </c>
      <c r="Q41" s="90">
        <f>+F41+P41</f>
        <v/>
      </c>
      <c r="R41" s="91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89">
        <f>SUBSTITUTE(D42, "*", "-")</f>
        <v/>
      </c>
      <c r="B42" s="90">
        <f>IFERROR(VLOOKUP(D42,#REF!, 8, 0), "")</f>
        <v/>
      </c>
      <c r="C42" s="90" t="n"/>
      <c r="D42" s="89" t="inlineStr">
        <is>
          <t>RS*A40G16SQZ</t>
        </is>
      </c>
      <c r="E42" s="46" t="n"/>
      <c r="F42" s="90" t="n"/>
      <c r="G42" s="90">
        <f>CEILING(IF((F42+19)&lt;101,3,IF((F42+19)*0.03&lt;10,(F42+19)*0.03,10)),1)</f>
        <v/>
      </c>
      <c r="H42" s="90" t="n"/>
      <c r="I42" s="90">
        <f>CEILING(IF((F42+G42+19)&lt;101,3,IF((F42+G42+19)*0.03&lt;10,(F42+G42+19)*0.03,10)),1)</f>
        <v/>
      </c>
      <c r="J42" s="90" t="n">
        <v>13</v>
      </c>
      <c r="K42" s="90" t="n"/>
      <c r="L42" s="90" t="n"/>
      <c r="M42" s="90" t="n">
        <v>1</v>
      </c>
      <c r="N42" s="90" t="n">
        <v>5</v>
      </c>
      <c r="O42" s="90" t="n"/>
      <c r="P42" s="90">
        <f>+SUM(H42:O42)</f>
        <v/>
      </c>
      <c r="Q42" s="90">
        <f>+F42+P42</f>
        <v/>
      </c>
      <c r="R42" s="91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89">
        <f>SUBSTITUTE(D43, "*", "-")</f>
        <v/>
      </c>
      <c r="B43" s="90">
        <f>IFERROR(VLOOKUP(D43,#REF!, 8, 0), "")</f>
        <v/>
      </c>
      <c r="C43" s="90" t="n"/>
      <c r="D43" s="89" t="inlineStr">
        <is>
          <t>RS*A40K10AQ</t>
        </is>
      </c>
      <c r="E43" s="46" t="n"/>
      <c r="F43" s="90" t="n"/>
      <c r="G43" s="90">
        <f>CEILING(IF((F43+19)&lt;101,3,IF((F43+19)*0.03&lt;10,(F43+19)*0.03,10)),1)</f>
        <v/>
      </c>
      <c r="H43" s="90" t="n"/>
      <c r="I43" s="90">
        <f>CEILING(IF((F43+G43+19)&lt;101,3,IF((F43+G43+19)*0.03&lt;10,(F43+G43+19)*0.03,10)),1)</f>
        <v/>
      </c>
      <c r="J43" s="90" t="n">
        <v>13</v>
      </c>
      <c r="K43" s="90" t="n"/>
      <c r="L43" s="90" t="n"/>
      <c r="M43" s="90" t="n">
        <v>1</v>
      </c>
      <c r="N43" s="90" t="n">
        <v>5</v>
      </c>
      <c r="O43" s="90" t="n"/>
      <c r="P43" s="90">
        <f>+SUM(H43:O43)</f>
        <v/>
      </c>
      <c r="Q43" s="90">
        <f>+F43+P43</f>
        <v/>
      </c>
      <c r="R43" s="91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89">
        <f>SUBSTITUTE(D44, "*", "-")</f>
        <v/>
      </c>
      <c r="B44" s="90">
        <f>IFERROR(VLOOKUP(D44,#REF!, 8, 0), "")</f>
        <v/>
      </c>
      <c r="C44" s="90" t="n"/>
      <c r="D44" s="89" t="inlineStr">
        <is>
          <t>RS*A40K10SQ</t>
        </is>
      </c>
      <c r="E44" s="46" t="n"/>
      <c r="F44" s="90" t="n"/>
      <c r="G44" s="90">
        <f>CEILING(IF((F44+19)&lt;101,3,IF((F44+19)*0.03&lt;10,(F44+19)*0.03,10)),1)</f>
        <v/>
      </c>
      <c r="H44" s="90" t="n"/>
      <c r="I44" s="90">
        <f>CEILING(IF((F44+G44+19)&lt;101,3,IF((F44+G44+19)*0.03&lt;10,(F44+G44+19)*0.03,10)),1)</f>
        <v/>
      </c>
      <c r="J44" s="90" t="n">
        <v>13</v>
      </c>
      <c r="K44" s="90" t="n"/>
      <c r="L44" s="90" t="n"/>
      <c r="M44" s="90" t="n">
        <v>1</v>
      </c>
      <c r="N44" s="90" t="n">
        <v>5</v>
      </c>
      <c r="O44" s="90" t="n"/>
      <c r="P44" s="90">
        <f>+SUM(H44:O44)</f>
        <v/>
      </c>
      <c r="Q44" s="90">
        <f>+F44+P44</f>
        <v/>
      </c>
      <c r="R44" s="91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89">
        <f>SUBSTITUTE(D45, "*", "-")</f>
        <v/>
      </c>
      <c r="B45" s="90">
        <f>IFERROR(VLOOKUP(D45,#REF!, 8, 0), "")</f>
        <v/>
      </c>
      <c r="C45" s="90" t="n"/>
      <c r="D45" s="89" t="inlineStr">
        <is>
          <t>RS*A40K25MQ</t>
        </is>
      </c>
      <c r="E45" s="46" t="n"/>
      <c r="F45" s="90" t="n"/>
      <c r="G45" s="90">
        <f>CEILING(IF((F45+19)&lt;101,3,IF((F45+19)*0.03&lt;10,(F45+19)*0.03,10)),1)</f>
        <v/>
      </c>
      <c r="H45" s="90" t="n"/>
      <c r="I45" s="90">
        <f>CEILING(IF((F45+G45+19)&lt;101,3,IF((F45+G45+19)*0.03&lt;10,(F45+G45+19)*0.03,10)),1)</f>
        <v/>
      </c>
      <c r="J45" s="90" t="n">
        <v>13</v>
      </c>
      <c r="K45" s="90" t="n"/>
      <c r="L45" s="90" t="n"/>
      <c r="M45" s="90" t="n">
        <v>1</v>
      </c>
      <c r="N45" s="90" t="n">
        <v>5</v>
      </c>
      <c r="O45" s="90" t="n"/>
      <c r="P45" s="90">
        <f>+SUM(H45:O45)</f>
        <v/>
      </c>
      <c r="Q45" s="90">
        <f>+F45+P45</f>
        <v/>
      </c>
      <c r="R45" s="91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89">
        <f>SUBSTITUTE(D46, "*", "-")</f>
        <v/>
      </c>
      <c r="B46" s="90">
        <f>IFERROR(VLOOKUP(D46,#REF!, 8, 0), "")</f>
        <v/>
      </c>
      <c r="C46" s="90" t="n"/>
      <c r="D46" s="89" t="inlineStr">
        <is>
          <t>RS*A40K25MQ1</t>
        </is>
      </c>
      <c r="E46" s="46" t="n"/>
      <c r="F46" s="90" t="n"/>
      <c r="G46" s="90">
        <f>CEILING(IF((F46+19)&lt;101,3,IF((F46+19)*0.03&lt;10,(F46+19)*0.03,10)),1)</f>
        <v/>
      </c>
      <c r="H46" s="90" t="n"/>
      <c r="I46" s="90">
        <f>CEILING(IF((F46+G46+19)&lt;101,3,IF((F46+G46+19)*0.03&lt;10,(F46+G46+19)*0.03,10)),1)</f>
        <v/>
      </c>
      <c r="J46" s="90" t="n">
        <v>13</v>
      </c>
      <c r="K46" s="90" t="n"/>
      <c r="L46" s="90" t="n"/>
      <c r="M46" s="90" t="n">
        <v>1</v>
      </c>
      <c r="N46" s="90" t="n">
        <v>5</v>
      </c>
      <c r="O46" s="90" t="n"/>
      <c r="P46" s="90">
        <f>+SUM(H46:O46)</f>
        <v/>
      </c>
      <c r="Q46" s="90">
        <f>+F46+P46</f>
        <v/>
      </c>
      <c r="R46" s="91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89">
        <f>SUBSTITUTE(D47, "*", "-")</f>
        <v/>
      </c>
      <c r="B47" s="90">
        <f>IFERROR(VLOOKUP(D47,#REF!, 8, 0), "")</f>
        <v/>
      </c>
      <c r="C47" s="90" t="n"/>
      <c r="D47" s="89" t="inlineStr">
        <is>
          <t>RS*A50G07SQ</t>
        </is>
      </c>
      <c r="E47" s="46" t="n"/>
      <c r="F47" s="90" t="n"/>
      <c r="G47" s="90">
        <f>CEILING(IF((F47+19)&lt;101,3,IF((F47+19)*0.03&lt;10,(F47+19)*0.03,10)),1)</f>
        <v/>
      </c>
      <c r="H47" s="90" t="n"/>
      <c r="I47" s="90">
        <f>CEILING(IF((F47+G47+19)&lt;101,3,IF((F47+G47+19)*0.03&lt;10,(F47+G47+19)*0.03,10)),1)</f>
        <v/>
      </c>
      <c r="J47" s="90" t="n">
        <v>13</v>
      </c>
      <c r="K47" s="90" t="n"/>
      <c r="L47" s="90" t="n"/>
      <c r="M47" s="90" t="n">
        <v>1</v>
      </c>
      <c r="N47" s="90" t="n">
        <v>5</v>
      </c>
      <c r="O47" s="90" t="n"/>
      <c r="P47" s="90">
        <f>+SUM(H47:O47)</f>
        <v/>
      </c>
      <c r="Q47" s="90">
        <f>+F47+P47</f>
        <v/>
      </c>
      <c r="R47" s="91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89">
        <f>SUBSTITUTE(D48, "*", "-")</f>
        <v/>
      </c>
      <c r="B48" s="90">
        <f>IFERROR(VLOOKUP(D48,#REF!, 8, 0), "")</f>
        <v/>
      </c>
      <c r="C48" s="90" t="n"/>
      <c r="D48" s="89" t="inlineStr">
        <is>
          <t>RS*A50G16AQZ</t>
        </is>
      </c>
      <c r="E48" s="46" t="n"/>
      <c r="F48" s="90" t="n"/>
      <c r="G48" s="90">
        <f>CEILING(IF((F48+19)&lt;101,3,IF((F48+19)*0.03&lt;10,(F48+19)*0.03,10)),1)</f>
        <v/>
      </c>
      <c r="H48" s="90" t="n"/>
      <c r="I48" s="90">
        <f>CEILING(IF((F48+G48+19)&lt;101,3,IF((F48+G48+19)*0.03&lt;10,(F48+G48+19)*0.03,10)),1)</f>
        <v/>
      </c>
      <c r="J48" s="90" t="n">
        <v>13</v>
      </c>
      <c r="K48" s="90" t="n"/>
      <c r="L48" s="90" t="n"/>
      <c r="M48" s="90" t="n">
        <v>1</v>
      </c>
      <c r="N48" s="90" t="n">
        <v>5</v>
      </c>
      <c r="O48" s="90" t="n"/>
      <c r="P48" s="90">
        <f>+SUM(H48:O48)</f>
        <v/>
      </c>
      <c r="Q48" s="90">
        <f>+F48+P48</f>
        <v/>
      </c>
      <c r="R48" s="91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89">
        <f>SUBSTITUTE(D49, "*", "-")</f>
        <v/>
      </c>
      <c r="B49" s="90">
        <f>IFERROR(VLOOKUP(D49,#REF!, 8, 0), "")</f>
        <v/>
      </c>
      <c r="C49" s="90" t="n"/>
      <c r="D49" s="89" t="inlineStr">
        <is>
          <t>RS*A50G16SQZ</t>
        </is>
      </c>
      <c r="E49" s="46" t="n"/>
      <c r="F49" s="90" t="n"/>
      <c r="G49" s="90">
        <f>CEILING(IF((F49+19)&lt;101,3,IF((F49+19)*0.03&lt;10,(F49+19)*0.03,10)),1)</f>
        <v/>
      </c>
      <c r="H49" s="90" t="n"/>
      <c r="I49" s="90">
        <f>CEILING(IF((F49+G49+19)&lt;101,3,IF((F49+G49+19)*0.03&lt;10,(F49+G49+19)*0.03,10)),1)</f>
        <v/>
      </c>
      <c r="J49" s="90" t="n">
        <v>13</v>
      </c>
      <c r="K49" s="90" t="n"/>
      <c r="L49" s="90" t="n"/>
      <c r="M49" s="90" t="n">
        <v>1</v>
      </c>
      <c r="N49" s="90" t="n">
        <v>5</v>
      </c>
      <c r="O49" s="90" t="n"/>
      <c r="P49" s="90">
        <f>+SUM(H49:O49)</f>
        <v/>
      </c>
      <c r="Q49" s="90">
        <f>+F49+P49</f>
        <v/>
      </c>
      <c r="R49" s="91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89">
        <f>SUBSTITUTE(D50, "*", "-")</f>
        <v/>
      </c>
      <c r="B50" s="90">
        <f>IFERROR(VLOOKUP(D50,#REF!, 8, 0), "")</f>
        <v/>
      </c>
      <c r="C50" s="90" t="n"/>
      <c r="D50" s="89" t="inlineStr">
        <is>
          <t>RS*A50K10AQ</t>
        </is>
      </c>
      <c r="E50" s="46" t="n"/>
      <c r="F50" s="90" t="n"/>
      <c r="G50" s="90">
        <f>CEILING(IF((F50+19)&lt;101,3,IF((F50+19)*0.03&lt;10,(F50+19)*0.03,10)),1)</f>
        <v/>
      </c>
      <c r="H50" s="90" t="n"/>
      <c r="I50" s="90">
        <f>CEILING(IF((F50+G50+19)&lt;101,3,IF((F50+G50+19)*0.03&lt;10,(F50+G50+19)*0.03,10)),1)</f>
        <v/>
      </c>
      <c r="J50" s="90" t="n">
        <v>13</v>
      </c>
      <c r="K50" s="90" t="n"/>
      <c r="L50" s="90" t="n"/>
      <c r="M50" s="90" t="n">
        <v>1</v>
      </c>
      <c r="N50" s="90" t="n">
        <v>5</v>
      </c>
      <c r="O50" s="90" t="n"/>
      <c r="P50" s="90">
        <f>+SUM(H50:O50)</f>
        <v/>
      </c>
      <c r="Q50" s="90">
        <f>+F50+P50</f>
        <v/>
      </c>
      <c r="R50" s="91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89">
        <f>SUBSTITUTE(D51, "*", "-")</f>
        <v/>
      </c>
      <c r="B51" s="90">
        <f>IFERROR(VLOOKUP(D51,#REF!, 8, 0), "")</f>
        <v/>
      </c>
      <c r="C51" s="90" t="n"/>
      <c r="D51" s="89" t="inlineStr">
        <is>
          <t>RS*A50K10SQ</t>
        </is>
      </c>
      <c r="E51" s="46" t="n"/>
      <c r="F51" s="90" t="n"/>
      <c r="G51" s="90">
        <f>CEILING(IF((F51+19)&lt;101,3,IF((F51+19)*0.03&lt;10,(F51+19)*0.03,10)),1)</f>
        <v/>
      </c>
      <c r="H51" s="90" t="n"/>
      <c r="I51" s="90">
        <f>CEILING(IF((F51+G51+19)&lt;101,3,IF((F51+G51+19)*0.03&lt;10,(F51+G51+19)*0.03,10)),1)</f>
        <v/>
      </c>
      <c r="J51" s="90" t="n">
        <v>13</v>
      </c>
      <c r="K51" s="90" t="n"/>
      <c r="L51" s="90" t="n"/>
      <c r="M51" s="90" t="n">
        <v>1</v>
      </c>
      <c r="N51" s="90" t="n">
        <v>5</v>
      </c>
      <c r="O51" s="90" t="n"/>
      <c r="P51" s="90">
        <f>+SUM(H51:O51)</f>
        <v/>
      </c>
      <c r="Q51" s="90">
        <f>+F51+P51</f>
        <v/>
      </c>
      <c r="R51" s="91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89">
        <f>SUBSTITUTE(D52, "*", "-")</f>
        <v/>
      </c>
      <c r="B52" s="90">
        <f>IFERROR(VLOOKUP(D52,#REF!, 8, 0), "")</f>
        <v/>
      </c>
      <c r="C52" s="90" t="n"/>
      <c r="D52" s="89" t="inlineStr">
        <is>
          <t>RS*A50K25AQ</t>
        </is>
      </c>
      <c r="E52" s="46" t="n"/>
      <c r="F52" s="90" t="n"/>
      <c r="G52" s="90">
        <f>CEILING(IF((F52+19)&lt;101,3,IF((F52+19)*0.03&lt;10,(F52+19)*0.03,10)),1)</f>
        <v/>
      </c>
      <c r="H52" s="90" t="n"/>
      <c r="I52" s="90">
        <f>CEILING(IF((F52+G52+19)&lt;101,3,IF((F52+G52+19)*0.03&lt;10,(F52+G52+19)*0.03,10)),1)</f>
        <v/>
      </c>
      <c r="J52" s="90" t="n">
        <v>13</v>
      </c>
      <c r="K52" s="90" t="n"/>
      <c r="L52" s="90" t="n"/>
      <c r="M52" s="90" t="n">
        <v>1</v>
      </c>
      <c r="N52" s="90" t="n">
        <v>5</v>
      </c>
      <c r="O52" s="90" t="n"/>
      <c r="P52" s="90">
        <f>+SUM(H52:O52)</f>
        <v/>
      </c>
      <c r="Q52" s="90">
        <f>+F52+P52</f>
        <v/>
      </c>
      <c r="R52" s="91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89">
        <f>SUBSTITUTE(D53, "*", "-")</f>
        <v/>
      </c>
      <c r="B53" s="90">
        <f>IFERROR(VLOOKUP(D53,#REF!, 8, 0), "")</f>
        <v/>
      </c>
      <c r="C53" s="90" t="n"/>
      <c r="D53" s="89" t="inlineStr">
        <is>
          <t>RS*A50N25AQ</t>
        </is>
      </c>
      <c r="E53" s="46" t="n"/>
      <c r="F53" s="90" t="n"/>
      <c r="G53" s="90">
        <f>CEILING(IF((F53+19)&lt;101,3,IF((F53+19)*0.03&lt;10,(F53+19)*0.03,10)),1)</f>
        <v/>
      </c>
      <c r="H53" s="90" t="n"/>
      <c r="I53" s="90">
        <f>CEILING(IF((F53+G53+19)&lt;101,3,IF((F53+G53+19)*0.03&lt;10,(F53+G53+19)*0.03,10)),1)</f>
        <v/>
      </c>
      <c r="J53" s="90" t="n">
        <v>13</v>
      </c>
      <c r="K53" s="90" t="n"/>
      <c r="L53" s="90" t="n"/>
      <c r="M53" s="90" t="n">
        <v>1</v>
      </c>
      <c r="N53" s="90" t="n">
        <v>5</v>
      </c>
      <c r="O53" s="90" t="n"/>
      <c r="P53" s="90">
        <f>+SUM(H53:O53)</f>
        <v/>
      </c>
      <c r="Q53" s="90">
        <f>+F53+P53</f>
        <v/>
      </c>
      <c r="R53" s="91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89">
        <f>SUBSTITUTE(D54, "*", "-")</f>
        <v/>
      </c>
      <c r="B54" s="90">
        <f>IFERROR(VLOOKUP(D54,#REF!, 8, 0), "")</f>
        <v/>
      </c>
      <c r="C54" s="90" t="n"/>
      <c r="D54" s="89" t="inlineStr">
        <is>
          <t>RS*A60G07AQ</t>
        </is>
      </c>
      <c r="E54" s="46" t="n"/>
      <c r="F54" s="90" t="n"/>
      <c r="G54" s="90">
        <f>CEILING(IF((F54+19)&lt;101,3,IF((F54+19)*0.03&lt;10,(F54+19)*0.03,10)),1)</f>
        <v/>
      </c>
      <c r="H54" s="90" t="n"/>
      <c r="I54" s="90">
        <f>CEILING(IF((F54+G54+19)&lt;101,3,IF((F54+G54+19)*0.03&lt;10,(F54+G54+19)*0.03,10)),1)</f>
        <v/>
      </c>
      <c r="J54" s="90" t="n">
        <v>13</v>
      </c>
      <c r="K54" s="90" t="n"/>
      <c r="L54" s="90" t="n"/>
      <c r="M54" s="90" t="n">
        <v>1</v>
      </c>
      <c r="N54" s="90" t="n">
        <v>5</v>
      </c>
      <c r="O54" s="90" t="n"/>
      <c r="P54" s="90">
        <f>+SUM(H54:O54)</f>
        <v/>
      </c>
      <c r="Q54" s="90">
        <f>+F54+P54</f>
        <v/>
      </c>
      <c r="R54" s="91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89">
        <f>SUBSTITUTE(D55, "*", "-")</f>
        <v/>
      </c>
      <c r="B55" s="90">
        <f>IFERROR(VLOOKUP(D55,#REF!, 8, 0), "")</f>
        <v/>
      </c>
      <c r="C55" s="90" t="n"/>
      <c r="D55" s="89" t="inlineStr">
        <is>
          <t>RS*A60G07SQ</t>
        </is>
      </c>
      <c r="E55" s="46" t="n"/>
      <c r="F55" s="90" t="n"/>
      <c r="G55" s="90">
        <f>CEILING(IF((F55+19)&lt;101,3,IF((F55+19)*0.03&lt;10,(F55+19)*0.03,10)),1)</f>
        <v/>
      </c>
      <c r="H55" s="90" t="n"/>
      <c r="I55" s="90">
        <f>CEILING(IF((F55+G55+19)&lt;101,3,IF((F55+G55+19)*0.03&lt;10,(F55+G55+19)*0.03,10)),1)</f>
        <v/>
      </c>
      <c r="J55" s="90" t="n">
        <v>13</v>
      </c>
      <c r="K55" s="90" t="n"/>
      <c r="L55" s="90" t="n"/>
      <c r="M55" s="90" t="n">
        <v>1</v>
      </c>
      <c r="N55" s="90" t="n">
        <v>5</v>
      </c>
      <c r="O55" s="90" t="n"/>
      <c r="P55" s="90">
        <f>+SUM(H55:O55)</f>
        <v/>
      </c>
      <c r="Q55" s="90">
        <f>+F55+P55</f>
        <v/>
      </c>
      <c r="R55" s="91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89">
        <f>SUBSTITUTE(D56, "*", "-")</f>
        <v/>
      </c>
      <c r="B56" s="90">
        <f>IFERROR(VLOOKUP(D56,#REF!, 8, 0), "")</f>
        <v/>
      </c>
      <c r="C56" s="90" t="n"/>
      <c r="D56" s="89" t="inlineStr">
        <is>
          <t>RS*A60G16AQZ</t>
        </is>
      </c>
      <c r="E56" s="46" t="n"/>
      <c r="F56" s="90" t="n"/>
      <c r="G56" s="90">
        <f>CEILING(IF((F56+19)&lt;101,3,IF((F56+19)*0.03&lt;10,(F56+19)*0.03,10)),1)</f>
        <v/>
      </c>
      <c r="H56" s="90" t="n"/>
      <c r="I56" s="90">
        <f>CEILING(IF((F56+G56+19)&lt;101,3,IF((F56+G56+19)*0.03&lt;10,(F56+G56+19)*0.03,10)),1)</f>
        <v/>
      </c>
      <c r="J56" s="90" t="n">
        <v>13</v>
      </c>
      <c r="K56" s="90" t="n"/>
      <c r="L56" s="90" t="n"/>
      <c r="M56" s="90" t="n">
        <v>1</v>
      </c>
      <c r="N56" s="90" t="n">
        <v>5</v>
      </c>
      <c r="O56" s="90" t="n"/>
      <c r="P56" s="90">
        <f>+SUM(H56:O56)</f>
        <v/>
      </c>
      <c r="Q56" s="90">
        <f>+F56+P56</f>
        <v/>
      </c>
      <c r="R56" s="91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89">
        <f>SUBSTITUTE(D57, "*", "-")</f>
        <v/>
      </c>
      <c r="B57" s="90">
        <f>IFERROR(VLOOKUP(D57,#REF!, 8, 0), "")</f>
        <v/>
      </c>
      <c r="C57" s="90" t="n"/>
      <c r="D57" s="89" t="inlineStr">
        <is>
          <t>RS*A60G16SQZ</t>
        </is>
      </c>
      <c r="E57" s="46" t="n"/>
      <c r="F57" s="90" t="n"/>
      <c r="G57" s="90">
        <f>CEILING(IF((F57+19)&lt;101,3,IF((F57+19)*0.03&lt;10,(F57+19)*0.03,10)),1)</f>
        <v/>
      </c>
      <c r="H57" s="90" t="n"/>
      <c r="I57" s="90">
        <f>CEILING(IF((F57+G57+19)&lt;101,3,IF((F57+G57+19)*0.03&lt;10,(F57+G57+19)*0.03,10)),1)</f>
        <v/>
      </c>
      <c r="J57" s="90" t="n">
        <v>13</v>
      </c>
      <c r="K57" s="90" t="n"/>
      <c r="L57" s="90" t="n"/>
      <c r="M57" s="90" t="n">
        <v>1</v>
      </c>
      <c r="N57" s="90" t="n">
        <v>5</v>
      </c>
      <c r="O57" s="90" t="n"/>
      <c r="P57" s="90">
        <f>+SUM(H57:O57)</f>
        <v/>
      </c>
      <c r="Q57" s="90">
        <f>+F57+P57</f>
        <v/>
      </c>
      <c r="R57" s="91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89">
        <f>SUBSTITUTE(D58, "*", "-")</f>
        <v/>
      </c>
      <c r="B58" s="90">
        <f>IFERROR(VLOOKUP(D58,#REF!, 8, 0), "")</f>
        <v/>
      </c>
      <c r="C58" s="90" t="n"/>
      <c r="D58" s="89" t="inlineStr">
        <is>
          <t>RS*A60G25SQ</t>
        </is>
      </c>
      <c r="E58" s="46" t="n"/>
      <c r="F58" s="90" t="n"/>
      <c r="G58" s="90">
        <f>CEILING(IF((F58+19)&lt;101,3,IF((F58+19)*0.03&lt;10,(F58+19)*0.03,10)),1)</f>
        <v/>
      </c>
      <c r="H58" s="90" t="n"/>
      <c r="I58" s="90">
        <f>CEILING(IF((F58+G58+19)&lt;101,3,IF((F58+G58+19)*0.03&lt;10,(F58+G58+19)*0.03,10)),1)</f>
        <v/>
      </c>
      <c r="J58" s="90" t="n">
        <v>13</v>
      </c>
      <c r="K58" s="90" t="n"/>
      <c r="L58" s="90" t="n"/>
      <c r="M58" s="90" t="n">
        <v>1</v>
      </c>
      <c r="N58" s="90" t="n">
        <v>5</v>
      </c>
      <c r="O58" s="90" t="n"/>
      <c r="P58" s="90">
        <f>+SUM(H58:O58)</f>
        <v/>
      </c>
      <c r="Q58" s="90">
        <f>+F58+P58</f>
        <v/>
      </c>
      <c r="R58" s="91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89">
        <f>SUBSTITUTE(D59, "*", "-")</f>
        <v/>
      </c>
      <c r="B59" s="90">
        <f>IFERROR(VLOOKUP(D59,#REF!, 8, 0), "")</f>
        <v/>
      </c>
      <c r="C59" s="90" t="n"/>
      <c r="D59" s="89" t="inlineStr">
        <is>
          <t>RS*A60K10AQ</t>
        </is>
      </c>
      <c r="E59" s="46" t="n"/>
      <c r="F59" s="90" t="n"/>
      <c r="G59" s="90">
        <f>CEILING(IF((F59+19)&lt;101,3,IF((F59+19)*0.03&lt;10,(F59+19)*0.03,10)),1)</f>
        <v/>
      </c>
      <c r="H59" s="90" t="n"/>
      <c r="I59" s="90">
        <f>CEILING(IF((F59+G59+19)&lt;101,3,IF((F59+G59+19)*0.03&lt;10,(F59+G59+19)*0.03,10)),1)</f>
        <v/>
      </c>
      <c r="J59" s="90" t="n">
        <v>13</v>
      </c>
      <c r="K59" s="90" t="n"/>
      <c r="L59" s="90" t="n"/>
      <c r="M59" s="90" t="n">
        <v>1</v>
      </c>
      <c r="N59" s="90" t="n">
        <v>5</v>
      </c>
      <c r="O59" s="90" t="n"/>
      <c r="P59" s="90">
        <f>+SUM(H59:O59)</f>
        <v/>
      </c>
      <c r="Q59" s="90">
        <f>+F59+P59</f>
        <v/>
      </c>
      <c r="R59" s="91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89">
        <f>SUBSTITUTE(D60, "*", "-")</f>
        <v/>
      </c>
      <c r="B60" s="90">
        <f>IFERROR(VLOOKUP(D60,#REF!, 8, 0), "")</f>
        <v/>
      </c>
      <c r="C60" s="90" t="n"/>
      <c r="D60" s="89" t="inlineStr">
        <is>
          <t>RS*A60K10SQ</t>
        </is>
      </c>
      <c r="E60" s="46" t="n"/>
      <c r="F60" s="90" t="n"/>
      <c r="G60" s="90">
        <f>CEILING(IF((F60+19)&lt;101,3,IF((F60+19)*0.03&lt;10,(F60+19)*0.03,10)),1)</f>
        <v/>
      </c>
      <c r="H60" s="90" t="n"/>
      <c r="I60" s="90">
        <f>CEILING(IF((F60+G60+19)&lt;101,3,IF((F60+G60+19)*0.03&lt;10,(F60+G60+19)*0.03,10)),1)</f>
        <v/>
      </c>
      <c r="J60" s="90" t="n">
        <v>13</v>
      </c>
      <c r="K60" s="90" t="n"/>
      <c r="L60" s="90" t="n"/>
      <c r="M60" s="90" t="n">
        <v>1</v>
      </c>
      <c r="N60" s="90" t="n">
        <v>5</v>
      </c>
      <c r="O60" s="90" t="n"/>
      <c r="P60" s="90">
        <f>+SUM(H60:O60)</f>
        <v/>
      </c>
      <c r="Q60" s="90">
        <f>+F60+P60</f>
        <v/>
      </c>
      <c r="R60" s="91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89">
        <f>SUBSTITUTE(D61, "*", "-")</f>
        <v/>
      </c>
      <c r="B61" s="90">
        <f>IFERROR(VLOOKUP(D61,#REF!, 8, 0), "")</f>
        <v/>
      </c>
      <c r="C61" s="90" t="n"/>
      <c r="D61" s="89" t="inlineStr">
        <is>
          <t>RS*A60K25AQ</t>
        </is>
      </c>
      <c r="E61" s="46" t="n"/>
      <c r="F61" s="90" t="n"/>
      <c r="G61" s="90">
        <f>CEILING(IF((F61+19)&lt;101,3,IF((F61+19)*0.03&lt;10,(F61+19)*0.03,10)),1)</f>
        <v/>
      </c>
      <c r="H61" s="90" t="n"/>
      <c r="I61" s="90">
        <f>CEILING(IF((F61+G61+19)&lt;101,3,IF((F61+G61+19)*0.03&lt;10,(F61+G61+19)*0.03,10)),1)</f>
        <v/>
      </c>
      <c r="J61" s="90" t="n">
        <v>13</v>
      </c>
      <c r="K61" s="90" t="n"/>
      <c r="L61" s="90" t="n"/>
      <c r="M61" s="90" t="n">
        <v>1</v>
      </c>
      <c r="N61" s="90" t="n">
        <v>5</v>
      </c>
      <c r="O61" s="90" t="n"/>
      <c r="P61" s="90">
        <f>+SUM(H61:O61)</f>
        <v/>
      </c>
      <c r="Q61" s="90">
        <f>+F61+P61</f>
        <v/>
      </c>
      <c r="R61" s="91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89">
        <f>SUBSTITUTE(D62, "*", "-")</f>
        <v/>
      </c>
      <c r="B62" s="90">
        <f>IFERROR(VLOOKUP(D62,#REF!, 8, 0), "")</f>
        <v/>
      </c>
      <c r="C62" s="90" t="n"/>
      <c r="D62" s="89" t="inlineStr">
        <is>
          <t>RS*A60N10SQ</t>
        </is>
      </c>
      <c r="E62" s="46" t="n"/>
      <c r="F62" s="90" t="n"/>
      <c r="G62" s="90">
        <f>CEILING(IF((F62+19)&lt;101,3,IF((F62+19)*0.03&lt;10,(F62+19)*0.03,10)),1)</f>
        <v/>
      </c>
      <c r="H62" s="90" t="n"/>
      <c r="I62" s="90">
        <f>CEILING(IF((F62+G62+19)&lt;101,3,IF((F62+G62+19)*0.03&lt;10,(F62+G62+19)*0.03,10)),1)</f>
        <v/>
      </c>
      <c r="J62" s="90" t="n">
        <v>13</v>
      </c>
      <c r="K62" s="90" t="n"/>
      <c r="L62" s="90" t="n"/>
      <c r="M62" s="90" t="n">
        <v>1</v>
      </c>
      <c r="N62" s="90" t="n">
        <v>5</v>
      </c>
      <c r="O62" s="90" t="n"/>
      <c r="P62" s="90">
        <f>+SUM(H62:O62)</f>
        <v/>
      </c>
      <c r="Q62" s="90">
        <f>+F62+P62</f>
        <v/>
      </c>
      <c r="R62" s="91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89">
        <f>SUBSTITUTE(D63, "*", "-")</f>
        <v/>
      </c>
      <c r="B63" s="90">
        <f>IFERROR(VLOOKUP(D63,#REF!, 8, 0), "")</f>
        <v/>
      </c>
      <c r="C63" s="90" t="n"/>
      <c r="D63" s="89" t="inlineStr">
        <is>
          <t>RS*A60N25AQ</t>
        </is>
      </c>
      <c r="E63" s="46" t="n"/>
      <c r="F63" s="90" t="n"/>
      <c r="G63" s="90">
        <f>CEILING(IF((F63+19)&lt;101,3,IF((F63+19)*0.03&lt;10,(F63+19)*0.03,10)),1)</f>
        <v/>
      </c>
      <c r="H63" s="90" t="n"/>
      <c r="I63" s="90">
        <f>CEILING(IF((F63+G63+19)&lt;101,3,IF((F63+G63+19)*0.03&lt;10,(F63+G63+19)*0.03,10)),1)</f>
        <v/>
      </c>
      <c r="J63" s="90" t="n">
        <v>13</v>
      </c>
      <c r="K63" s="90" t="n"/>
      <c r="L63" s="90" t="n"/>
      <c r="M63" s="90" t="n">
        <v>1</v>
      </c>
      <c r="N63" s="90" t="n">
        <v>5</v>
      </c>
      <c r="O63" s="90" t="n"/>
      <c r="P63" s="90">
        <f>+SUM(H63:O63)</f>
        <v/>
      </c>
      <c r="Q63" s="90">
        <f>+F63+P63</f>
        <v/>
      </c>
      <c r="R63" s="91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89">
        <f>SUBSTITUTE(D64, "*", "-")</f>
        <v/>
      </c>
      <c r="B64" s="90">
        <f>IFERROR(VLOOKUP(D64,#REF!, 8, 0), "")</f>
        <v/>
      </c>
      <c r="C64" s="90" t="n"/>
      <c r="D64" s="89" t="inlineStr">
        <is>
          <t>RS*A70K10AQ</t>
        </is>
      </c>
      <c r="E64" s="46" t="n"/>
      <c r="F64" s="90" t="n"/>
      <c r="G64" s="90">
        <f>CEILING(IF((F64+19)&lt;101,3,IF((F64+19)*0.03&lt;10,(F64+19)*0.03,10)),1)</f>
        <v/>
      </c>
      <c r="H64" s="90" t="n"/>
      <c r="I64" s="90">
        <f>CEILING(IF((F64+G64+19)&lt;101,3,IF((F64+G64+19)*0.03&lt;10,(F64+G64+19)*0.03,10)),1)</f>
        <v/>
      </c>
      <c r="J64" s="90" t="n">
        <v>13</v>
      </c>
      <c r="K64" s="90" t="n"/>
      <c r="L64" s="90" t="n"/>
      <c r="M64" s="90" t="n">
        <v>1</v>
      </c>
      <c r="N64" s="90" t="n">
        <v>5</v>
      </c>
      <c r="O64" s="90" t="n"/>
      <c r="P64" s="90">
        <f>+SUM(H64:O64)</f>
        <v/>
      </c>
      <c r="Q64" s="90">
        <f>+F64+P64</f>
        <v/>
      </c>
      <c r="R64" s="91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89">
        <f>SUBSTITUTE(D65, "*", "-")</f>
        <v/>
      </c>
      <c r="B65" s="90">
        <f>IFERROR(VLOOKUP(D65,#REF!, 8, 0), "")</f>
        <v/>
      </c>
      <c r="C65" s="90" t="n"/>
      <c r="D65" s="89" t="inlineStr">
        <is>
          <t>RS*A70K10MQ</t>
        </is>
      </c>
      <c r="E65" s="46" t="n"/>
      <c r="F65" s="90" t="n"/>
      <c r="G65" s="90">
        <f>CEILING(IF((F65+19)&lt;101,3,IF((F65+19)*0.03&lt;10,(F65+19)*0.03,10)),1)</f>
        <v/>
      </c>
      <c r="H65" s="90" t="n"/>
      <c r="I65" s="90">
        <f>CEILING(IF((F65+G65+19)&lt;101,3,IF((F65+G65+19)*0.03&lt;10,(F65+G65+19)*0.03,10)),1)</f>
        <v/>
      </c>
      <c r="J65" s="90" t="n">
        <v>13</v>
      </c>
      <c r="K65" s="90" t="n"/>
      <c r="L65" s="90" t="n"/>
      <c r="M65" s="90" t="n">
        <v>1</v>
      </c>
      <c r="N65" s="90" t="n">
        <v>5</v>
      </c>
      <c r="O65" s="90" t="n"/>
      <c r="P65" s="90">
        <f>+SUM(H65:O65)</f>
        <v/>
      </c>
      <c r="Q65" s="90">
        <f>+F65+P65</f>
        <v/>
      </c>
      <c r="R65" s="91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89">
        <f>SUBSTITUTE(D66, "*", "-")</f>
        <v/>
      </c>
      <c r="B66" s="90">
        <f>IFERROR(VLOOKUP(D66,#REF!, 8, 0), "")</f>
        <v/>
      </c>
      <c r="C66" s="90" t="n"/>
      <c r="D66" s="89" t="inlineStr">
        <is>
          <t>RS*A70K10SQ</t>
        </is>
      </c>
      <c r="E66" s="46" t="n"/>
      <c r="F66" s="90" t="n"/>
      <c r="G66" s="90">
        <f>CEILING(IF((F66+19)&lt;101,3,IF((F66+19)*0.03&lt;10,(F66+19)*0.03,10)),1)</f>
        <v/>
      </c>
      <c r="H66" s="90" t="n"/>
      <c r="I66" s="90">
        <f>CEILING(IF((F66+G66+19)&lt;101,3,IF((F66+G66+19)*0.03&lt;10,(F66+G66+19)*0.03,10)),1)</f>
        <v/>
      </c>
      <c r="J66" s="90" t="n">
        <v>13</v>
      </c>
      <c r="K66" s="90" t="n"/>
      <c r="L66" s="90" t="n"/>
      <c r="M66" s="90" t="n">
        <v>1</v>
      </c>
      <c r="N66" s="90" t="n">
        <v>5</v>
      </c>
      <c r="O66" s="90" t="n"/>
      <c r="P66" s="90">
        <f>+SUM(H66:O66)</f>
        <v/>
      </c>
      <c r="Q66" s="90">
        <f>+F66+P66</f>
        <v/>
      </c>
      <c r="R66" s="91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89">
        <f>SUBSTITUTE(D67, "*", "-")</f>
        <v/>
      </c>
      <c r="B67" s="90">
        <f>IFERROR(VLOOKUP(D67,#REF!, 8, 0), "")</f>
        <v/>
      </c>
      <c r="C67" s="90" t="n"/>
      <c r="D67" s="89" t="inlineStr">
        <is>
          <t>RS*A70K25AQ</t>
        </is>
      </c>
      <c r="E67" s="46" t="n"/>
      <c r="F67" s="90" t="n"/>
      <c r="G67" s="90">
        <f>CEILING(IF((F67+19)&lt;101,3,IF((F67+19)*0.03&lt;10,(F67+19)*0.03,10)),1)</f>
        <v/>
      </c>
      <c r="H67" s="90" t="n"/>
      <c r="I67" s="90">
        <f>CEILING(IF((F67+G67+19)&lt;101,3,IF((F67+G67+19)*0.03&lt;10,(F67+G67+19)*0.03,10)),1)</f>
        <v/>
      </c>
      <c r="J67" s="90" t="n">
        <v>13</v>
      </c>
      <c r="K67" s="90" t="n"/>
      <c r="L67" s="90" t="n"/>
      <c r="M67" s="90" t="n">
        <v>1</v>
      </c>
      <c r="N67" s="90" t="n">
        <v>5</v>
      </c>
      <c r="O67" s="90" t="n"/>
      <c r="P67" s="90">
        <f>+SUM(H67:O67)</f>
        <v/>
      </c>
      <c r="Q67" s="90">
        <f>+F67+P67</f>
        <v/>
      </c>
      <c r="R67" s="91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89">
        <f>SUBSTITUTE(D68, "*", "-")</f>
        <v/>
      </c>
      <c r="B68" s="90">
        <f>IFERROR(VLOOKUP(D68,#REF!, 8, 0), "")</f>
        <v/>
      </c>
      <c r="C68" s="90" t="n"/>
      <c r="D68" s="89" t="inlineStr">
        <is>
          <t>RS*A70N10MQ</t>
        </is>
      </c>
      <c r="E68" s="46" t="n"/>
      <c r="F68" s="90" t="n"/>
      <c r="G68" s="90">
        <f>CEILING(IF((F68+19)&lt;101,3,IF((F68+19)*0.03&lt;10,(F68+19)*0.03,10)),1)</f>
        <v/>
      </c>
      <c r="H68" s="90" t="n"/>
      <c r="I68" s="90">
        <f>CEILING(IF((F68+G68+19)&lt;101,3,IF((F68+G68+19)*0.03&lt;10,(F68+G68+19)*0.03,10)),1)</f>
        <v/>
      </c>
      <c r="J68" s="90" t="n">
        <v>13</v>
      </c>
      <c r="K68" s="90" t="n"/>
      <c r="L68" s="90" t="n"/>
      <c r="M68" s="90" t="n">
        <v>1</v>
      </c>
      <c r="N68" s="90" t="n">
        <v>5</v>
      </c>
      <c r="O68" s="90" t="n"/>
      <c r="P68" s="90">
        <f>+SUM(H68:O68)</f>
        <v/>
      </c>
      <c r="Q68" s="90">
        <f>+F68+P68</f>
        <v/>
      </c>
      <c r="R68" s="91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89">
        <f>SUBSTITUTE(D69, "*", "-")</f>
        <v/>
      </c>
      <c r="B69" s="90">
        <f>IFERROR(VLOOKUP(D69,#REF!, 8, 0), "")</f>
        <v/>
      </c>
      <c r="C69" s="90" t="n"/>
      <c r="D69" s="89" t="inlineStr">
        <is>
          <t>RS*A70N25AQ</t>
        </is>
      </c>
      <c r="E69" s="46" t="n"/>
      <c r="F69" s="90" t="n"/>
      <c r="G69" s="90">
        <f>CEILING(IF((F69+19)&lt;101,3,IF((F69+19)*0.03&lt;10,(F69+19)*0.03,10)),1)</f>
        <v/>
      </c>
      <c r="H69" s="90" t="n"/>
      <c r="I69" s="90">
        <f>CEILING(IF((F69+G69+19)&lt;101,3,IF((F69+G69+19)*0.03&lt;10,(F69+G69+19)*0.03,10)),1)</f>
        <v/>
      </c>
      <c r="J69" s="90" t="n">
        <v>13</v>
      </c>
      <c r="K69" s="90" t="n"/>
      <c r="L69" s="90" t="n"/>
      <c r="M69" s="90" t="n">
        <v>1</v>
      </c>
      <c r="N69" s="90" t="n">
        <v>5</v>
      </c>
      <c r="O69" s="90" t="n"/>
      <c r="P69" s="90">
        <f>+SUM(H69:O69)</f>
        <v/>
      </c>
      <c r="Q69" s="90">
        <f>+F69+P69</f>
        <v/>
      </c>
      <c r="R69" s="91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89">
        <f>SUBSTITUTE(D70, "*", "-")</f>
        <v/>
      </c>
      <c r="B70" s="90">
        <f>IFERROR(VLOOKUP(D70,#REF!, 8, 0), "")</f>
        <v/>
      </c>
      <c r="C70" s="90" t="n"/>
      <c r="D70" s="89" t="inlineStr">
        <is>
          <t>RS*A70N25MQ1</t>
        </is>
      </c>
      <c r="E70" s="46" t="n"/>
      <c r="F70" s="90" t="n"/>
      <c r="G70" s="90">
        <f>CEILING(IF((F70+19)&lt;101,3,IF((F70+19)*0.03&lt;10,(F70+19)*0.03,10)),1)</f>
        <v/>
      </c>
      <c r="H70" s="90" t="n"/>
      <c r="I70" s="90">
        <f>CEILING(IF((F70+G70+19)&lt;101,3,IF((F70+G70+19)*0.03&lt;10,(F70+G70+19)*0.03,10)),1)</f>
        <v/>
      </c>
      <c r="J70" s="90" t="n">
        <v>13</v>
      </c>
      <c r="K70" s="90" t="n"/>
      <c r="L70" s="90" t="n"/>
      <c r="M70" s="90" t="n">
        <v>1</v>
      </c>
      <c r="N70" s="90" t="n">
        <v>5</v>
      </c>
      <c r="O70" s="90" t="n"/>
      <c r="P70" s="90">
        <f>+SUM(H70:O70)</f>
        <v/>
      </c>
      <c r="Q70" s="90">
        <f>+F70+P70</f>
        <v/>
      </c>
      <c r="R70" s="91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89">
        <f>SUBSTITUTE(D71, "*", "-")</f>
        <v/>
      </c>
      <c r="B71" s="90">
        <f>IFERROR(VLOOKUP(D71,#REF!, 8, 0), "")</f>
        <v/>
      </c>
      <c r="C71" s="90" t="n"/>
      <c r="D71" s="89" t="inlineStr">
        <is>
          <t>RS*A80K10SQ</t>
        </is>
      </c>
      <c r="E71" s="46" t="n"/>
      <c r="F71" s="90" t="n"/>
      <c r="G71" s="90">
        <f>CEILING(IF((F71+19)&lt;101,3,IF((F71+19)*0.03&lt;10,(F71+19)*0.03,10)),1)</f>
        <v/>
      </c>
      <c r="H71" s="90" t="n"/>
      <c r="I71" s="90">
        <f>CEILING(IF((F71+G71+19)&lt;101,3,IF((F71+G71+19)*0.03&lt;10,(F71+G71+19)*0.03,10)),1)</f>
        <v/>
      </c>
      <c r="J71" s="90" t="n">
        <v>13</v>
      </c>
      <c r="K71" s="90" t="n"/>
      <c r="L71" s="90" t="n"/>
      <c r="M71" s="90" t="n">
        <v>1</v>
      </c>
      <c r="N71" s="90" t="n">
        <v>5</v>
      </c>
      <c r="O71" s="90" t="n"/>
      <c r="P71" s="90">
        <f>+SUM(H71:O71)</f>
        <v/>
      </c>
      <c r="Q71" s="90">
        <f>+F71+P71</f>
        <v/>
      </c>
      <c r="R71" s="91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89">
        <f>SUBSTITUTE(D72, "*", "-")</f>
        <v/>
      </c>
      <c r="B72" s="90">
        <f>IFERROR(VLOOKUP(D72,#REF!, 8, 0), "")</f>
        <v/>
      </c>
      <c r="C72" s="90" t="n"/>
      <c r="D72" s="89" t="inlineStr">
        <is>
          <t>RS*A80N25AQ</t>
        </is>
      </c>
      <c r="E72" s="46" t="n"/>
      <c r="F72" s="90" t="n"/>
      <c r="G72" s="90">
        <f>CEILING(IF((F72+19)&lt;101,3,IF((F72+19)*0.03&lt;10,(F72+19)*0.03,10)),1)</f>
        <v/>
      </c>
      <c r="H72" s="90" t="n"/>
      <c r="I72" s="90">
        <f>CEILING(IF((F72+G72+19)&lt;101,3,IF((F72+G72+19)*0.03&lt;10,(F72+G72+19)*0.03,10)),1)</f>
        <v/>
      </c>
      <c r="J72" s="90" t="n">
        <v>13</v>
      </c>
      <c r="K72" s="90" t="n"/>
      <c r="L72" s="90" t="n"/>
      <c r="M72" s="90" t="n">
        <v>1</v>
      </c>
      <c r="N72" s="90" t="n">
        <v>5</v>
      </c>
      <c r="O72" s="90" t="n"/>
      <c r="P72" s="90">
        <f>+SUM(H72:O72)</f>
        <v/>
      </c>
      <c r="Q72" s="90">
        <f>+F72+P72</f>
        <v/>
      </c>
      <c r="R72" s="91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89">
        <f>SUBSTITUTE(D73, "*", "-")</f>
        <v/>
      </c>
      <c r="B73" s="90">
        <f>IFERROR(VLOOKUP(D73,#REF!, 8, 0), "")</f>
        <v/>
      </c>
      <c r="C73" s="90" t="n"/>
      <c r="D73" s="89" t="inlineStr">
        <is>
          <t>RS*B40G07SQ</t>
        </is>
      </c>
      <c r="E73" s="46" t="n"/>
      <c r="F73" s="90" t="n"/>
      <c r="G73" s="90">
        <f>CEILING(IF((F73+19)&lt;101,3,IF((F73+19)*0.03&lt;10,(F73+19)*0.03,10)),1)</f>
        <v/>
      </c>
      <c r="H73" s="90" t="n"/>
      <c r="I73" s="90">
        <f>CEILING(IF((F73+G73+19)&lt;101,3,IF((F73+G73+19)*0.03&lt;10,(F73+G73+19)*0.03,10)),1)</f>
        <v/>
      </c>
      <c r="J73" s="90" t="n">
        <v>13</v>
      </c>
      <c r="K73" s="90" t="n"/>
      <c r="L73" s="90" t="n"/>
      <c r="M73" s="90" t="n">
        <v>1</v>
      </c>
      <c r="N73" s="90" t="n">
        <v>5</v>
      </c>
      <c r="O73" s="90" t="n"/>
      <c r="P73" s="90">
        <f>+SUM(H73:O73)</f>
        <v/>
      </c>
      <c r="Q73" s="90">
        <f>+F73+P73</f>
        <v/>
      </c>
      <c r="R73" s="91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89">
        <f>SUBSTITUTE(D74, "*", "-")</f>
        <v/>
      </c>
      <c r="B74" s="90">
        <f>IFERROR(VLOOKUP(D74,#REF!, 8, 0), "")</f>
        <v/>
      </c>
      <c r="C74" s="90" t="n"/>
      <c r="D74" s="89" t="inlineStr">
        <is>
          <t>RS*B40G10SQ</t>
        </is>
      </c>
      <c r="E74" s="46" t="n"/>
      <c r="F74" s="90" t="n"/>
      <c r="G74" s="90">
        <f>CEILING(IF((F74+19)&lt;101,3,IF((F74+19)*0.03&lt;10,(F74+19)*0.03,10)),1)</f>
        <v/>
      </c>
      <c r="H74" s="90" t="n"/>
      <c r="I74" s="90">
        <f>CEILING(IF((F74+G74+19)&lt;101,3,IF((F74+G74+19)*0.03&lt;10,(F74+G74+19)*0.03,10)),1)</f>
        <v/>
      </c>
      <c r="J74" s="90" t="n">
        <v>13</v>
      </c>
      <c r="K74" s="90" t="n"/>
      <c r="L74" s="90" t="n"/>
      <c r="M74" s="90" t="n">
        <v>1</v>
      </c>
      <c r="N74" s="90" t="n">
        <v>5</v>
      </c>
      <c r="O74" s="90" t="n"/>
      <c r="P74" s="90">
        <f>+SUM(H74:O74)</f>
        <v/>
      </c>
      <c r="Q74" s="90">
        <f>+F74+P74</f>
        <v/>
      </c>
      <c r="R74" s="91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89">
        <f>SUBSTITUTE(D75, "*", "-")</f>
        <v/>
      </c>
      <c r="B75" s="90">
        <f>IFERROR(VLOOKUP(D75,#REF!, 8, 0), "")</f>
        <v/>
      </c>
      <c r="C75" s="90" t="n"/>
      <c r="D75" s="89" t="inlineStr">
        <is>
          <t>RS*B40K10AQ</t>
        </is>
      </c>
      <c r="E75" s="46" t="n"/>
      <c r="F75" s="90" t="n"/>
      <c r="G75" s="90">
        <f>CEILING(IF((F75+19)&lt;101,3,IF((F75+19)*0.03&lt;10,(F75+19)*0.03,10)),1)</f>
        <v/>
      </c>
      <c r="H75" s="90" t="n"/>
      <c r="I75" s="90">
        <f>CEILING(IF((F75+G75+19)&lt;101,3,IF((F75+G75+19)*0.03&lt;10,(F75+G75+19)*0.03,10)),1)</f>
        <v/>
      </c>
      <c r="J75" s="90" t="n">
        <v>13</v>
      </c>
      <c r="K75" s="90" t="n"/>
      <c r="L75" s="90" t="n"/>
      <c r="M75" s="90" t="n">
        <v>1</v>
      </c>
      <c r="N75" s="90" t="n">
        <v>5</v>
      </c>
      <c r="O75" s="90" t="n"/>
      <c r="P75" s="90">
        <f>+SUM(H75:O75)</f>
        <v/>
      </c>
      <c r="Q75" s="90">
        <f>+F75+P75</f>
        <v/>
      </c>
      <c r="R75" s="91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89">
        <f>SUBSTITUTE(D76, "*", "-")</f>
        <v/>
      </c>
      <c r="B76" s="90">
        <f>IFERROR(VLOOKUP(D76,#REF!, 8, 0), "")</f>
        <v/>
      </c>
      <c r="C76" s="90" t="n"/>
      <c r="D76" s="89" t="inlineStr">
        <is>
          <t>RS*B40K10MQ</t>
        </is>
      </c>
      <c r="E76" s="46" t="n"/>
      <c r="F76" s="90" t="n"/>
      <c r="G76" s="90">
        <f>CEILING(IF((F76+19)&lt;101,3,IF((F76+19)*0.03&lt;10,(F76+19)*0.03,10)),1)</f>
        <v/>
      </c>
      <c r="H76" s="90" t="n"/>
      <c r="I76" s="90">
        <f>CEILING(IF((F76+G76+19)&lt;101,3,IF((F76+G76+19)*0.03&lt;10,(F76+G76+19)*0.03,10)),1)</f>
        <v/>
      </c>
      <c r="J76" s="90" t="n">
        <v>13</v>
      </c>
      <c r="K76" s="90" t="n"/>
      <c r="L76" s="90" t="n"/>
      <c r="M76" s="90" t="n">
        <v>1</v>
      </c>
      <c r="N76" s="90" t="n">
        <v>5</v>
      </c>
      <c r="O76" s="90" t="n"/>
      <c r="P76" s="90">
        <f>+SUM(H76:O76)</f>
        <v/>
      </c>
      <c r="Q76" s="90">
        <f>+F76+P76</f>
        <v/>
      </c>
      <c r="R76" s="91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89">
        <f>SUBSTITUTE(D77, "*", "-")</f>
        <v/>
      </c>
      <c r="B77" s="90">
        <f>IFERROR(VLOOKUP(D77,#REF!, 8, 0), "")</f>
        <v/>
      </c>
      <c r="C77" s="90" t="n"/>
      <c r="D77" s="89" t="inlineStr">
        <is>
          <t>RS*B40K10MR</t>
        </is>
      </c>
      <c r="E77" s="46" t="n"/>
      <c r="F77" s="90" t="n"/>
      <c r="G77" s="90">
        <f>CEILING(IF((F77+19)&lt;101,3,IF((F77+19)*0.03&lt;10,(F77+19)*0.03,10)),1)</f>
        <v/>
      </c>
      <c r="H77" s="90" t="n"/>
      <c r="I77" s="90">
        <f>CEILING(IF((F77+G77+19)&lt;101,3,IF((F77+G77+19)*0.03&lt;10,(F77+G77+19)*0.03,10)),1)</f>
        <v/>
      </c>
      <c r="J77" s="90" t="n">
        <v>13</v>
      </c>
      <c r="K77" s="90" t="n"/>
      <c r="L77" s="90" t="n"/>
      <c r="M77" s="90" t="n">
        <v>1</v>
      </c>
      <c r="N77" s="90" t="n">
        <v>5</v>
      </c>
      <c r="O77" s="90" t="n"/>
      <c r="P77" s="90">
        <f>+SUM(H77:O77)</f>
        <v/>
      </c>
      <c r="Q77" s="90">
        <f>+F77+P77</f>
        <v/>
      </c>
      <c r="R77" s="91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89">
        <f>SUBSTITUTE(D78, "*", "-")</f>
        <v/>
      </c>
      <c r="B78" s="90">
        <f>IFERROR(VLOOKUP(D78,#REF!, 8, 0), "")</f>
        <v/>
      </c>
      <c r="C78" s="90" t="n"/>
      <c r="D78" s="89" t="inlineStr">
        <is>
          <t>RS*B40K10SQ</t>
        </is>
      </c>
      <c r="E78" s="46" t="n"/>
      <c r="F78" s="90" t="n"/>
      <c r="G78" s="90">
        <f>CEILING(IF((F78+19)&lt;101,3,IF((F78+19)*0.03&lt;10,(F78+19)*0.03,10)),1)</f>
        <v/>
      </c>
      <c r="H78" s="90" t="n"/>
      <c r="I78" s="90">
        <f>CEILING(IF((F78+G78+19)&lt;101,3,IF((F78+G78+19)*0.03&lt;10,(F78+G78+19)*0.03,10)),1)</f>
        <v/>
      </c>
      <c r="J78" s="90" t="n">
        <v>13</v>
      </c>
      <c r="K78" s="90" t="n"/>
      <c r="L78" s="90" t="n"/>
      <c r="M78" s="90" t="n">
        <v>1</v>
      </c>
      <c r="N78" s="90" t="n">
        <v>5</v>
      </c>
      <c r="O78" s="90" t="n"/>
      <c r="P78" s="90">
        <f>+SUM(H78:O78)</f>
        <v/>
      </c>
      <c r="Q78" s="90">
        <f>+F78+P78</f>
        <v/>
      </c>
      <c r="R78" s="91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89">
        <f>SUBSTITUTE(D79, "*", "-")</f>
        <v/>
      </c>
      <c r="B79" s="90">
        <f>IFERROR(VLOOKUP(D79,#REF!, 8, 0), "")</f>
        <v/>
      </c>
      <c r="C79" s="90" t="n"/>
      <c r="D79" s="89" t="inlineStr">
        <is>
          <t>RS*B40K25AQ</t>
        </is>
      </c>
      <c r="E79" s="46" t="n"/>
      <c r="F79" s="90" t="n"/>
      <c r="G79" s="90">
        <f>CEILING(IF((F79+19)&lt;101,3,IF((F79+19)*0.03&lt;10,(F79+19)*0.03,10)),1)</f>
        <v/>
      </c>
      <c r="H79" s="90" t="n"/>
      <c r="I79" s="90">
        <f>CEILING(IF((F79+G79+19)&lt;101,3,IF((F79+G79+19)*0.03&lt;10,(F79+G79+19)*0.03,10)),1)</f>
        <v/>
      </c>
      <c r="J79" s="90" t="n">
        <v>13</v>
      </c>
      <c r="K79" s="90" t="n"/>
      <c r="L79" s="90" t="n"/>
      <c r="M79" s="90" t="n">
        <v>1</v>
      </c>
      <c r="N79" s="90" t="n">
        <v>5</v>
      </c>
      <c r="O79" s="90" t="n"/>
      <c r="P79" s="90">
        <f>+SUM(H79:O79)</f>
        <v/>
      </c>
      <c r="Q79" s="90">
        <f>+F79+P79</f>
        <v/>
      </c>
      <c r="R79" s="91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89">
        <f>SUBSTITUTE(D80, "*", "-")</f>
        <v/>
      </c>
      <c r="B80" s="90">
        <f>IFERROR(VLOOKUP(D80,#REF!, 8, 0), "")</f>
        <v/>
      </c>
      <c r="C80" s="90" t="n"/>
      <c r="D80" s="89" t="inlineStr">
        <is>
          <t>RS*B50G07SQ</t>
        </is>
      </c>
      <c r="E80" s="46" t="n"/>
      <c r="F80" s="90" t="n"/>
      <c r="G80" s="90">
        <f>CEILING(IF((F80+19)&lt;101,3,IF((F80+19)*0.03&lt;10,(F80+19)*0.03,10)),1)</f>
        <v/>
      </c>
      <c r="H80" s="90" t="n"/>
      <c r="I80" s="90">
        <f>CEILING(IF((F80+G80+19)&lt;101,3,IF((F80+G80+19)*0.03&lt;10,(F80+G80+19)*0.03,10)),1)</f>
        <v/>
      </c>
      <c r="J80" s="90" t="n">
        <v>13</v>
      </c>
      <c r="K80" s="90" t="n"/>
      <c r="L80" s="90" t="n"/>
      <c r="M80" s="90" t="n">
        <v>1</v>
      </c>
      <c r="N80" s="90" t="n">
        <v>5</v>
      </c>
      <c r="O80" s="90" t="n"/>
      <c r="P80" s="90">
        <f>+SUM(H80:O80)</f>
        <v/>
      </c>
      <c r="Q80" s="90">
        <f>+F80+P80</f>
        <v/>
      </c>
      <c r="R80" s="91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89">
        <f>SUBSTITUTE(D81, "*", "-")</f>
        <v/>
      </c>
      <c r="B81" s="90">
        <f>IFERROR(VLOOKUP(D81,#REF!, 8, 0), "")</f>
        <v/>
      </c>
      <c r="C81" s="90" t="n"/>
      <c r="D81" s="89" t="inlineStr">
        <is>
          <t>RS*B50G10MR</t>
        </is>
      </c>
      <c r="E81" s="46" t="n"/>
      <c r="F81" s="90" t="n"/>
      <c r="G81" s="90">
        <f>CEILING(IF((F81+19)&lt;101,3,IF((F81+19)*0.03&lt;10,(F81+19)*0.03,10)),1)</f>
        <v/>
      </c>
      <c r="H81" s="90" t="n"/>
      <c r="I81" s="90">
        <f>CEILING(IF((F81+G81+19)&lt;101,3,IF((F81+G81+19)*0.03&lt;10,(F81+G81+19)*0.03,10)),1)</f>
        <v/>
      </c>
      <c r="J81" s="90" t="n">
        <v>13</v>
      </c>
      <c r="K81" s="90" t="n"/>
      <c r="L81" s="90" t="n"/>
      <c r="M81" s="90" t="n">
        <v>1</v>
      </c>
      <c r="N81" s="90" t="n">
        <v>5</v>
      </c>
      <c r="O81" s="90" t="n"/>
      <c r="P81" s="90">
        <f>+SUM(H81:O81)</f>
        <v/>
      </c>
      <c r="Q81" s="90">
        <f>+F81+P81</f>
        <v/>
      </c>
      <c r="R81" s="91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89">
        <f>SUBSTITUTE(D82, "*", "-")</f>
        <v/>
      </c>
      <c r="B82" s="90">
        <f>IFERROR(VLOOKUP(D82,#REF!, 8, 0), "")</f>
        <v/>
      </c>
      <c r="C82" s="90" t="n"/>
      <c r="D82" s="89" t="inlineStr">
        <is>
          <t>RS*B50K10MQ</t>
        </is>
      </c>
      <c r="E82" s="46" t="n"/>
      <c r="F82" s="90" t="n"/>
      <c r="G82" s="90">
        <f>CEILING(IF((F82+19)&lt;101,3,IF((F82+19)*0.03&lt;10,(F82+19)*0.03,10)),1)</f>
        <v/>
      </c>
      <c r="H82" s="90" t="n"/>
      <c r="I82" s="90">
        <f>CEILING(IF((F82+G82+19)&lt;101,3,IF((F82+G82+19)*0.03&lt;10,(F82+G82+19)*0.03,10)),1)</f>
        <v/>
      </c>
      <c r="J82" s="90" t="n">
        <v>13</v>
      </c>
      <c r="K82" s="90" t="n"/>
      <c r="L82" s="90" t="n"/>
      <c r="M82" s="90" t="n">
        <v>1</v>
      </c>
      <c r="N82" s="90" t="n">
        <v>5</v>
      </c>
      <c r="O82" s="90" t="n"/>
      <c r="P82" s="90">
        <f>+SUM(H82:O82)</f>
        <v/>
      </c>
      <c r="Q82" s="90">
        <f>+F82+P82</f>
        <v/>
      </c>
      <c r="R82" s="91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89">
        <f>SUBSTITUTE(D83, "*", "-")</f>
        <v/>
      </c>
      <c r="B83" s="90">
        <f>IFERROR(VLOOKUP(D83,#REF!, 8, 0), "")</f>
        <v/>
      </c>
      <c r="C83" s="90" t="n"/>
      <c r="D83" s="89" t="inlineStr">
        <is>
          <t>RS*B50K10MR</t>
        </is>
      </c>
      <c r="E83" s="46" t="n"/>
      <c r="F83" s="90" t="n"/>
      <c r="G83" s="90">
        <f>CEILING(IF((F83+19)&lt;101,3,IF((F83+19)*0.03&lt;10,(F83+19)*0.03,10)),1)</f>
        <v/>
      </c>
      <c r="H83" s="90" t="n"/>
      <c r="I83" s="90">
        <f>CEILING(IF((F83+G83+19)&lt;101,3,IF((F83+G83+19)*0.03&lt;10,(F83+G83+19)*0.03,10)),1)</f>
        <v/>
      </c>
      <c r="J83" s="90" t="n">
        <v>13</v>
      </c>
      <c r="K83" s="90" t="n"/>
      <c r="L83" s="90" t="n"/>
      <c r="M83" s="90" t="n">
        <v>1</v>
      </c>
      <c r="N83" s="90" t="n">
        <v>5</v>
      </c>
      <c r="O83" s="90" t="n"/>
      <c r="P83" s="90">
        <f>+SUM(H83:O83)</f>
        <v/>
      </c>
      <c r="Q83" s="90">
        <f>+F83+P83</f>
        <v/>
      </c>
      <c r="R83" s="91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89">
        <f>SUBSTITUTE(D84, "*", "-")</f>
        <v/>
      </c>
      <c r="B84" s="90">
        <f>IFERROR(VLOOKUP(D84,#REF!, 8, 0), "")</f>
        <v/>
      </c>
      <c r="C84" s="90" t="n"/>
      <c r="D84" s="89" t="inlineStr">
        <is>
          <t>RS*B50K10SQ</t>
        </is>
      </c>
      <c r="E84" s="46" t="n"/>
      <c r="F84" s="90" t="n"/>
      <c r="G84" s="90">
        <f>CEILING(IF((F84+19)&lt;101,3,IF((F84+19)*0.03&lt;10,(F84+19)*0.03,10)),1)</f>
        <v/>
      </c>
      <c r="H84" s="90" t="n"/>
      <c r="I84" s="90">
        <f>CEILING(IF((F84+G84+19)&lt;101,3,IF((F84+G84+19)*0.03&lt;10,(F84+G84+19)*0.03,10)),1)</f>
        <v/>
      </c>
      <c r="J84" s="90" t="n">
        <v>13</v>
      </c>
      <c r="K84" s="90" t="n"/>
      <c r="L84" s="90" t="n"/>
      <c r="M84" s="90" t="n">
        <v>1</v>
      </c>
      <c r="N84" s="90" t="n">
        <v>5</v>
      </c>
      <c r="O84" s="90" t="n"/>
      <c r="P84" s="90">
        <f>+SUM(H84:O84)</f>
        <v/>
      </c>
      <c r="Q84" s="90">
        <f>+F84+P84</f>
        <v/>
      </c>
      <c r="R84" s="91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89">
        <f>SUBSTITUTE(D85, "*", "-")</f>
        <v/>
      </c>
      <c r="B85" s="90">
        <f>IFERROR(VLOOKUP(D85,#REF!, 8, 0), "")</f>
        <v/>
      </c>
      <c r="C85" s="90" t="n"/>
      <c r="D85" s="89" t="inlineStr">
        <is>
          <t>RS*B50K25AQ</t>
        </is>
      </c>
      <c r="E85" s="46" t="n"/>
      <c r="F85" s="90" t="n"/>
      <c r="G85" s="90">
        <f>CEILING(IF((F85+19)&lt;101,3,IF((F85+19)*0.03&lt;10,(F85+19)*0.03,10)),1)</f>
        <v/>
      </c>
      <c r="H85" s="90" t="n"/>
      <c r="I85" s="90">
        <f>CEILING(IF((F85+G85+19)&lt;101,3,IF((F85+G85+19)*0.03&lt;10,(F85+G85+19)*0.03,10)),1)</f>
        <v/>
      </c>
      <c r="J85" s="90" t="n">
        <v>13</v>
      </c>
      <c r="K85" s="90" t="n"/>
      <c r="L85" s="90" t="n"/>
      <c r="M85" s="90" t="n">
        <v>1</v>
      </c>
      <c r="N85" s="90" t="n">
        <v>5</v>
      </c>
      <c r="O85" s="90" t="n"/>
      <c r="P85" s="90">
        <f>+SUM(H85:O85)</f>
        <v/>
      </c>
      <c r="Q85" s="90">
        <f>+F85+P85</f>
        <v/>
      </c>
      <c r="R85" s="91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89">
        <f>SUBSTITUTE(D86, "*", "-")</f>
        <v/>
      </c>
      <c r="B86" s="90">
        <f>IFERROR(VLOOKUP(D86,#REF!, 8, 0), "")</f>
        <v/>
      </c>
      <c r="C86" s="90" t="n"/>
      <c r="D86" s="89" t="inlineStr">
        <is>
          <t>RS*B50N10AQ</t>
        </is>
      </c>
      <c r="E86" s="46" t="n"/>
      <c r="F86" s="90" t="n"/>
      <c r="G86" s="90">
        <f>CEILING(IF((F86+19)&lt;101,3,IF((F86+19)*0.03&lt;10,(F86+19)*0.03,10)),1)</f>
        <v/>
      </c>
      <c r="H86" s="90" t="n"/>
      <c r="I86" s="90">
        <f>CEILING(IF((F86+G86+19)&lt;101,3,IF((F86+G86+19)*0.03&lt;10,(F86+G86+19)*0.03,10)),1)</f>
        <v/>
      </c>
      <c r="J86" s="90" t="n">
        <v>13</v>
      </c>
      <c r="K86" s="90" t="n"/>
      <c r="L86" s="90" t="n"/>
      <c r="M86" s="90" t="n">
        <v>1</v>
      </c>
      <c r="N86" s="90" t="n">
        <v>5</v>
      </c>
      <c r="O86" s="90" t="n"/>
      <c r="P86" s="90">
        <f>+SUM(H86:O86)</f>
        <v/>
      </c>
      <c r="Q86" s="90">
        <f>+F86+P86</f>
        <v/>
      </c>
      <c r="R86" s="91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89">
        <f>SUBSTITUTE(D87, "*", "-")</f>
        <v/>
      </c>
      <c r="B87" s="90">
        <f>IFERROR(VLOOKUP(D87,#REF!, 8, 0), "")</f>
        <v/>
      </c>
      <c r="C87" s="90" t="n"/>
      <c r="D87" s="89" t="inlineStr">
        <is>
          <t>RS*B50N10MQ</t>
        </is>
      </c>
      <c r="E87" s="46" t="n"/>
      <c r="F87" s="90" t="n"/>
      <c r="G87" s="90">
        <f>CEILING(IF((F87+19)&lt;101,3,IF((F87+19)*0.03&lt;10,(F87+19)*0.03,10)),1)</f>
        <v/>
      </c>
      <c r="H87" s="90" t="n"/>
      <c r="I87" s="90">
        <f>CEILING(IF((F87+G87+19)&lt;101,3,IF((F87+G87+19)*0.03&lt;10,(F87+G87+19)*0.03,10)),1)</f>
        <v/>
      </c>
      <c r="J87" s="90" t="n">
        <v>13</v>
      </c>
      <c r="K87" s="90" t="n"/>
      <c r="L87" s="90" t="n"/>
      <c r="M87" s="90" t="n">
        <v>1</v>
      </c>
      <c r="N87" s="90" t="n">
        <v>5</v>
      </c>
      <c r="O87" s="90" t="n"/>
      <c r="P87" s="90">
        <f>+SUM(H87:O87)</f>
        <v/>
      </c>
      <c r="Q87" s="90">
        <f>+F87+P87</f>
        <v/>
      </c>
      <c r="R87" s="91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89">
        <f>SUBSTITUTE(D88, "*", "-")</f>
        <v/>
      </c>
      <c r="B88" s="90">
        <f>IFERROR(VLOOKUP(D88,#REF!, 8, 0), "")</f>
        <v/>
      </c>
      <c r="C88" s="90" t="n"/>
      <c r="D88" s="89" t="inlineStr">
        <is>
          <t>RS*B50N10MR</t>
        </is>
      </c>
      <c r="E88" s="46" t="n"/>
      <c r="F88" s="90" t="n"/>
      <c r="G88" s="90">
        <f>CEILING(IF((F88+19)&lt;101,3,IF((F88+19)*0.03&lt;10,(F88+19)*0.03,10)),1)</f>
        <v/>
      </c>
      <c r="H88" s="90" t="n"/>
      <c r="I88" s="90">
        <f>CEILING(IF((F88+G88+19)&lt;101,3,IF((F88+G88+19)*0.03&lt;10,(F88+G88+19)*0.03,10)),1)</f>
        <v/>
      </c>
      <c r="J88" s="90" t="n">
        <v>13</v>
      </c>
      <c r="K88" s="90" t="n"/>
      <c r="L88" s="90" t="n"/>
      <c r="M88" s="90" t="n">
        <v>1</v>
      </c>
      <c r="N88" s="90" t="n">
        <v>5</v>
      </c>
      <c r="O88" s="90" t="n"/>
      <c r="P88" s="90">
        <f>+SUM(H88:O88)</f>
        <v/>
      </c>
      <c r="Q88" s="90">
        <f>+F88+P88</f>
        <v/>
      </c>
      <c r="R88" s="91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89">
        <f>SUBSTITUTE(D89, "*", "-")</f>
        <v/>
      </c>
      <c r="B89" s="90">
        <f>IFERROR(VLOOKUP(D89,#REF!, 8, 0), "")</f>
        <v/>
      </c>
      <c r="C89" s="90" t="n"/>
      <c r="D89" s="89" t="inlineStr">
        <is>
          <t>RS*B50N10MR5</t>
        </is>
      </c>
      <c r="E89" s="46" t="n"/>
      <c r="F89" s="90" t="n"/>
      <c r="G89" s="90">
        <f>CEILING(IF((F89+19)&lt;101,3,IF((F89+19)*0.03&lt;10,(F89+19)*0.03,10)),1)</f>
        <v/>
      </c>
      <c r="H89" s="90" t="n"/>
      <c r="I89" s="90">
        <f>CEILING(IF((F89+G89+19)&lt;101,3,IF((F89+G89+19)*0.03&lt;10,(F89+G89+19)*0.03,10)),1)</f>
        <v/>
      </c>
      <c r="J89" s="90" t="n">
        <v>13</v>
      </c>
      <c r="K89" s="90" t="n"/>
      <c r="L89" s="90" t="n"/>
      <c r="M89" s="90" t="n">
        <v>1</v>
      </c>
      <c r="N89" s="90" t="n">
        <v>5</v>
      </c>
      <c r="O89" s="90" t="n"/>
      <c r="P89" s="90">
        <f>+SUM(H89:O89)</f>
        <v/>
      </c>
      <c r="Q89" s="90">
        <f>+F89+P89</f>
        <v/>
      </c>
      <c r="R89" s="91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89">
        <f>SUBSTITUTE(D90, "*", "-")</f>
        <v/>
      </c>
      <c r="B90" s="90">
        <f>IFERROR(VLOOKUP(D90,#REF!, 8, 0), "")</f>
        <v/>
      </c>
      <c r="C90" s="90" t="n"/>
      <c r="D90" s="89" t="inlineStr">
        <is>
          <t>RS*B50N10SQ</t>
        </is>
      </c>
      <c r="E90" s="46" t="n"/>
      <c r="F90" s="90" t="n"/>
      <c r="G90" s="90">
        <f>CEILING(IF((F90+19)&lt;101,3,IF((F90+19)*0.03&lt;10,(F90+19)*0.03,10)),1)</f>
        <v/>
      </c>
      <c r="H90" s="90" t="n"/>
      <c r="I90" s="90">
        <f>CEILING(IF((F90+G90+19)&lt;101,3,IF((F90+G90+19)*0.03&lt;10,(F90+G90+19)*0.03,10)),1)</f>
        <v/>
      </c>
      <c r="J90" s="90" t="n">
        <v>13</v>
      </c>
      <c r="K90" s="90" t="n"/>
      <c r="L90" s="90" t="n"/>
      <c r="M90" s="90" t="n">
        <v>1</v>
      </c>
      <c r="N90" s="90" t="n">
        <v>5</v>
      </c>
      <c r="O90" s="90" t="n"/>
      <c r="P90" s="90">
        <f>+SUM(H90:O90)</f>
        <v/>
      </c>
      <c r="Q90" s="90">
        <f>+F90+P90</f>
        <v/>
      </c>
      <c r="R90" s="91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89">
        <f>SUBSTITUTE(D91, "*", "-")</f>
        <v/>
      </c>
      <c r="B91" s="90">
        <f>IFERROR(VLOOKUP(D91,#REF!, 8, 0), "")</f>
        <v/>
      </c>
      <c r="C91" s="90" t="n"/>
      <c r="D91" s="89" t="inlineStr">
        <is>
          <t>RS*B50N25AQ</t>
        </is>
      </c>
      <c r="E91" s="46" t="n"/>
      <c r="F91" s="90" t="n"/>
      <c r="G91" s="90">
        <f>CEILING(IF((F91+19)&lt;101,3,IF((F91+19)*0.03&lt;10,(F91+19)*0.03,10)),1)</f>
        <v/>
      </c>
      <c r="H91" s="90" t="n"/>
      <c r="I91" s="90">
        <f>CEILING(IF((F91+G91+19)&lt;101,3,IF((F91+G91+19)*0.03&lt;10,(F91+G91+19)*0.03,10)),1)</f>
        <v/>
      </c>
      <c r="J91" s="90" t="n">
        <v>13</v>
      </c>
      <c r="K91" s="90" t="n"/>
      <c r="L91" s="90" t="n"/>
      <c r="M91" s="90" t="n">
        <v>1</v>
      </c>
      <c r="N91" s="90" t="n">
        <v>5</v>
      </c>
      <c r="O91" s="90" t="n"/>
      <c r="P91" s="90">
        <f>+SUM(H91:O91)</f>
        <v/>
      </c>
      <c r="Q91" s="90">
        <f>+F91+P91</f>
        <v/>
      </c>
      <c r="R91" s="91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89">
        <f>SUBSTITUTE(D92, "*", "-")</f>
        <v/>
      </c>
      <c r="B92" s="90">
        <f>IFERROR(VLOOKUP(D92,#REF!, 8, 0), "")</f>
        <v/>
      </c>
      <c r="C92" s="90" t="n"/>
      <c r="D92" s="89" t="inlineStr">
        <is>
          <t>RS*B50N25AQ5</t>
        </is>
      </c>
      <c r="E92" s="46" t="n"/>
      <c r="F92" s="90" t="n"/>
      <c r="G92" s="90">
        <f>CEILING(IF((F92+19)&lt;101,3,IF((F92+19)*0.03&lt;10,(F92+19)*0.03,10)),1)</f>
        <v/>
      </c>
      <c r="H92" s="90" t="n"/>
      <c r="I92" s="90">
        <f>CEILING(IF((F92+G92+19)&lt;101,3,IF((F92+G92+19)*0.03&lt;10,(F92+G92+19)*0.03,10)),1)</f>
        <v/>
      </c>
      <c r="J92" s="90" t="n">
        <v>13</v>
      </c>
      <c r="K92" s="90" t="n"/>
      <c r="L92" s="90" t="n"/>
      <c r="M92" s="90" t="n">
        <v>1</v>
      </c>
      <c r="N92" s="90" t="n">
        <v>5</v>
      </c>
      <c r="O92" s="90" t="n"/>
      <c r="P92" s="90">
        <f>+SUM(H92:O92)</f>
        <v/>
      </c>
      <c r="Q92" s="90">
        <f>+F92+P92</f>
        <v/>
      </c>
      <c r="R92" s="91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89">
        <f>SUBSTITUTE(D93, "*", "-")</f>
        <v/>
      </c>
      <c r="B93" s="90">
        <f>IFERROR(VLOOKUP(D93,#REF!, 8, 0), "")</f>
        <v/>
      </c>
      <c r="C93" s="90" t="n"/>
      <c r="D93" s="89" t="inlineStr">
        <is>
          <t>RS*B60G07SQ</t>
        </is>
      </c>
      <c r="E93" s="46" t="n"/>
      <c r="F93" s="90" t="n"/>
      <c r="G93" s="90">
        <f>CEILING(IF((F93+19)&lt;101,3,IF((F93+19)*0.03&lt;10,(F93+19)*0.03,10)),1)</f>
        <v/>
      </c>
      <c r="H93" s="90" t="n"/>
      <c r="I93" s="90">
        <f>CEILING(IF((F93+G93+19)&lt;101,3,IF((F93+G93+19)*0.03&lt;10,(F93+G93+19)*0.03,10)),1)</f>
        <v/>
      </c>
      <c r="J93" s="90" t="n">
        <v>13</v>
      </c>
      <c r="K93" s="90" t="n"/>
      <c r="L93" s="90" t="n"/>
      <c r="M93" s="90" t="n">
        <v>1</v>
      </c>
      <c r="N93" s="90" t="n">
        <v>5</v>
      </c>
      <c r="O93" s="90" t="n"/>
      <c r="P93" s="90">
        <f>+SUM(H93:O93)</f>
        <v/>
      </c>
      <c r="Q93" s="90">
        <f>+F93+P93</f>
        <v/>
      </c>
      <c r="R93" s="91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89">
        <f>SUBSTITUTE(D94, "*", "-")</f>
        <v/>
      </c>
      <c r="B94" s="90">
        <f>IFERROR(VLOOKUP(D94,#REF!, 8, 0), "")</f>
        <v/>
      </c>
      <c r="C94" s="90" t="n"/>
      <c r="D94" s="89" t="inlineStr">
        <is>
          <t>RS*B60G10MR</t>
        </is>
      </c>
      <c r="E94" s="46" t="n"/>
      <c r="F94" s="90" t="n"/>
      <c r="G94" s="90">
        <f>CEILING(IF((F94+19)&lt;101,3,IF((F94+19)*0.03&lt;10,(F94+19)*0.03,10)),1)</f>
        <v/>
      </c>
      <c r="H94" s="90" t="n"/>
      <c r="I94" s="90">
        <f>CEILING(IF((F94+G94+19)&lt;101,3,IF((F94+G94+19)*0.03&lt;10,(F94+G94+19)*0.03,10)),1)</f>
        <v/>
      </c>
      <c r="J94" s="90" t="n">
        <v>13</v>
      </c>
      <c r="K94" s="90" t="n"/>
      <c r="L94" s="90" t="n"/>
      <c r="M94" s="90" t="n">
        <v>1</v>
      </c>
      <c r="N94" s="90" t="n">
        <v>5</v>
      </c>
      <c r="O94" s="90" t="n"/>
      <c r="P94" s="90">
        <f>+SUM(H94:O94)</f>
        <v/>
      </c>
      <c r="Q94" s="90">
        <f>+F94+P94</f>
        <v/>
      </c>
      <c r="R94" s="91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89">
        <f>SUBSTITUTE(D95, "*", "-")</f>
        <v/>
      </c>
      <c r="B95" s="90">
        <f>IFERROR(VLOOKUP(D95,#REF!, 8, 0), "")</f>
        <v/>
      </c>
      <c r="C95" s="90" t="n"/>
      <c r="D95" s="89" t="inlineStr">
        <is>
          <t>RS*B60G10SQ</t>
        </is>
      </c>
      <c r="E95" s="46" t="n"/>
      <c r="F95" s="90" t="n"/>
      <c r="G95" s="90">
        <f>CEILING(IF((F95+19)&lt;101,3,IF((F95+19)*0.03&lt;10,(F95+19)*0.03,10)),1)</f>
        <v/>
      </c>
      <c r="H95" s="90" t="n"/>
      <c r="I95" s="90">
        <f>CEILING(IF((F95+G95+19)&lt;101,3,IF((F95+G95+19)*0.03&lt;10,(F95+G95+19)*0.03,10)),1)</f>
        <v/>
      </c>
      <c r="J95" s="90" t="n">
        <v>13</v>
      </c>
      <c r="K95" s="90" t="n"/>
      <c r="L95" s="90" t="n"/>
      <c r="M95" s="90" t="n">
        <v>1</v>
      </c>
      <c r="N95" s="90" t="n">
        <v>5</v>
      </c>
      <c r="O95" s="90" t="n"/>
      <c r="P95" s="90">
        <f>+SUM(H95:O95)</f>
        <v/>
      </c>
      <c r="Q95" s="90">
        <f>+F95+P95</f>
        <v/>
      </c>
      <c r="R95" s="91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89">
        <f>SUBSTITUTE(D96, "*", "-")</f>
        <v/>
      </c>
      <c r="B96" s="90">
        <f>IFERROR(VLOOKUP(D96,#REF!, 8, 0), "")</f>
        <v/>
      </c>
      <c r="C96" s="90" t="n"/>
      <c r="D96" s="89" t="inlineStr">
        <is>
          <t>RS*B60K07MQ</t>
        </is>
      </c>
      <c r="E96" s="46" t="n"/>
      <c r="F96" s="90" t="n"/>
      <c r="G96" s="90">
        <f>CEILING(IF((F96+19)&lt;101,3,IF((F96+19)*0.03&lt;10,(F96+19)*0.03,10)),1)</f>
        <v/>
      </c>
      <c r="H96" s="90" t="n"/>
      <c r="I96" s="90">
        <f>CEILING(IF((F96+G96+19)&lt;101,3,IF((F96+G96+19)*0.03&lt;10,(F96+G96+19)*0.03,10)),1)</f>
        <v/>
      </c>
      <c r="J96" s="90" t="n">
        <v>13</v>
      </c>
      <c r="K96" s="90" t="n"/>
      <c r="L96" s="90" t="n"/>
      <c r="M96" s="90" t="n">
        <v>1</v>
      </c>
      <c r="N96" s="90" t="n">
        <v>5</v>
      </c>
      <c r="O96" s="90" t="n"/>
      <c r="P96" s="90">
        <f>+SUM(H96:O96)</f>
        <v/>
      </c>
      <c r="Q96" s="90">
        <f>+F96+P96</f>
        <v/>
      </c>
      <c r="R96" s="91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89">
        <f>SUBSTITUTE(D97, "*", "-")</f>
        <v/>
      </c>
      <c r="B97" s="90">
        <f>IFERROR(VLOOKUP(D97,#REF!, 8, 0), "")</f>
        <v/>
      </c>
      <c r="C97" s="90" t="n"/>
      <c r="D97" s="89" t="inlineStr">
        <is>
          <t>RS*B60K10MQ</t>
        </is>
      </c>
      <c r="E97" s="46" t="n"/>
      <c r="F97" s="90" t="n"/>
      <c r="G97" s="90">
        <f>CEILING(IF((F97+19)&lt;101,3,IF((F97+19)*0.03&lt;10,(F97+19)*0.03,10)),1)</f>
        <v/>
      </c>
      <c r="H97" s="90" t="n"/>
      <c r="I97" s="90">
        <f>CEILING(IF((F97+G97+19)&lt;101,3,IF((F97+G97+19)*0.03&lt;10,(F97+G97+19)*0.03,10)),1)</f>
        <v/>
      </c>
      <c r="J97" s="90" t="n">
        <v>13</v>
      </c>
      <c r="K97" s="90" t="n"/>
      <c r="L97" s="90" t="n"/>
      <c r="M97" s="90" t="n">
        <v>1</v>
      </c>
      <c r="N97" s="90" t="n">
        <v>5</v>
      </c>
      <c r="O97" s="90" t="n"/>
      <c r="P97" s="90">
        <f>+SUM(H97:O97)</f>
        <v/>
      </c>
      <c r="Q97" s="90">
        <f>+F97+P97</f>
        <v/>
      </c>
      <c r="R97" s="91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89">
        <f>SUBSTITUTE(D98, "*", "-")</f>
        <v/>
      </c>
      <c r="B98" s="90">
        <f>IFERROR(VLOOKUP(D98,#REF!, 8, 0), "")</f>
        <v/>
      </c>
      <c r="C98" s="90" t="n"/>
      <c r="D98" s="89" t="inlineStr">
        <is>
          <t>RS*B60K10MR</t>
        </is>
      </c>
      <c r="E98" s="46" t="n"/>
      <c r="F98" s="90" t="n"/>
      <c r="G98" s="90">
        <f>CEILING(IF((F98+19)&lt;101,3,IF((F98+19)*0.03&lt;10,(F98+19)*0.03,10)),1)</f>
        <v/>
      </c>
      <c r="H98" s="90" t="n"/>
      <c r="I98" s="90">
        <f>CEILING(IF((F98+G98+19)&lt;101,3,IF((F98+G98+19)*0.03&lt;10,(F98+G98+19)*0.03,10)),1)</f>
        <v/>
      </c>
      <c r="J98" s="90" t="n">
        <v>13</v>
      </c>
      <c r="K98" s="90" t="n"/>
      <c r="L98" s="90" t="n"/>
      <c r="M98" s="90" t="n">
        <v>1</v>
      </c>
      <c r="N98" s="90" t="n">
        <v>5</v>
      </c>
      <c r="O98" s="90" t="n"/>
      <c r="P98" s="90">
        <f>+SUM(H98:O98)</f>
        <v/>
      </c>
      <c r="Q98" s="90">
        <f>+F98+P98</f>
        <v/>
      </c>
      <c r="R98" s="91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89">
        <f>SUBSTITUTE(D99, "*", "-")</f>
        <v/>
      </c>
      <c r="B99" s="90">
        <f>IFERROR(VLOOKUP(D99,#REF!, 8, 0), "")</f>
        <v/>
      </c>
      <c r="C99" s="90" t="n"/>
      <c r="D99" s="89" t="inlineStr">
        <is>
          <t>RS*B60K10SQ</t>
        </is>
      </c>
      <c r="E99" s="46" t="n"/>
      <c r="F99" s="90" t="n"/>
      <c r="G99" s="90">
        <f>CEILING(IF((F99+19)&lt;101,3,IF((F99+19)*0.03&lt;10,(F99+19)*0.03,10)),1)</f>
        <v/>
      </c>
      <c r="H99" s="90" t="n"/>
      <c r="I99" s="90">
        <f>CEILING(IF((F99+G99+19)&lt;101,3,IF((F99+G99+19)*0.03&lt;10,(F99+G99+19)*0.03,10)),1)</f>
        <v/>
      </c>
      <c r="J99" s="90" t="n">
        <v>13</v>
      </c>
      <c r="K99" s="90" t="n"/>
      <c r="L99" s="90" t="n"/>
      <c r="M99" s="90" t="n">
        <v>1</v>
      </c>
      <c r="N99" s="90" t="n">
        <v>5</v>
      </c>
      <c r="O99" s="90" t="n"/>
      <c r="P99" s="90">
        <f>+SUM(H99:O99)</f>
        <v/>
      </c>
      <c r="Q99" s="90">
        <f>+F99+P99</f>
        <v/>
      </c>
      <c r="R99" s="91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89">
        <f>SUBSTITUTE(D100, "*", "-")</f>
        <v/>
      </c>
      <c r="B100" s="90">
        <f>IFERROR(VLOOKUP(D100,#REF!, 8, 0), "")</f>
        <v/>
      </c>
      <c r="C100" s="90" t="n"/>
      <c r="D100" s="89" t="inlineStr">
        <is>
          <t>RS*B60K25AQ</t>
        </is>
      </c>
      <c r="E100" s="46" t="n"/>
      <c r="F100" s="90" t="n"/>
      <c r="G100" s="90">
        <f>CEILING(IF((F100+19)&lt;101,3,IF((F100+19)*0.03&lt;10,(F100+19)*0.03,10)),1)</f>
        <v/>
      </c>
      <c r="H100" s="90" t="n"/>
      <c r="I100" s="90">
        <f>CEILING(IF((F100+G100+19)&lt;101,3,IF((F100+G100+19)*0.03&lt;10,(F100+G100+19)*0.03,10)),1)</f>
        <v/>
      </c>
      <c r="J100" s="90" t="n">
        <v>13</v>
      </c>
      <c r="K100" s="90" t="n"/>
      <c r="L100" s="90" t="n"/>
      <c r="M100" s="90" t="n">
        <v>1</v>
      </c>
      <c r="N100" s="90" t="n">
        <v>5</v>
      </c>
      <c r="O100" s="90" t="n"/>
      <c r="P100" s="90">
        <f>+SUM(H100:O100)</f>
        <v/>
      </c>
      <c r="Q100" s="90">
        <f>+F100+P100</f>
        <v/>
      </c>
      <c r="R100" s="91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89">
        <f>SUBSTITUTE(D101, "*", "-")</f>
        <v/>
      </c>
      <c r="B101" s="90">
        <f>IFERROR(VLOOKUP(D101,#REF!, 8, 0), "")</f>
        <v/>
      </c>
      <c r="C101" s="90" t="n"/>
      <c r="D101" s="89" t="inlineStr">
        <is>
          <t>RS*B60N10MQ</t>
        </is>
      </c>
      <c r="E101" s="46" t="n"/>
      <c r="F101" s="90" t="n"/>
      <c r="G101" s="90">
        <f>CEILING(IF((F101+19)&lt;101,3,IF((F101+19)*0.03&lt;10,(F101+19)*0.03,10)),1)</f>
        <v/>
      </c>
      <c r="H101" s="90" t="n"/>
      <c r="I101" s="90">
        <f>CEILING(IF((F101+G101+19)&lt;101,3,IF((F101+G101+19)*0.03&lt;10,(F101+G101+19)*0.03,10)),1)</f>
        <v/>
      </c>
      <c r="J101" s="90" t="n">
        <v>13</v>
      </c>
      <c r="K101" s="90" t="n"/>
      <c r="L101" s="90" t="n"/>
      <c r="M101" s="90" t="n">
        <v>1</v>
      </c>
      <c r="N101" s="90" t="n">
        <v>5</v>
      </c>
      <c r="O101" s="90" t="n"/>
      <c r="P101" s="90">
        <f>+SUM(H101:O101)</f>
        <v/>
      </c>
      <c r="Q101" s="90">
        <f>+F101+P101</f>
        <v/>
      </c>
      <c r="R101" s="91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89">
        <f>SUBSTITUTE(D102, "*", "-")</f>
        <v/>
      </c>
      <c r="B102" s="90">
        <f>IFERROR(VLOOKUP(D102,#REF!, 8, 0), "")</f>
        <v/>
      </c>
      <c r="C102" s="90" t="n"/>
      <c r="D102" s="89" t="inlineStr">
        <is>
          <t>RS*B60N10MR</t>
        </is>
      </c>
      <c r="E102" s="46" t="n"/>
      <c r="F102" s="90" t="n"/>
      <c r="G102" s="90">
        <f>CEILING(IF((F102+19)&lt;101,3,IF((F102+19)*0.03&lt;10,(F102+19)*0.03,10)),1)</f>
        <v/>
      </c>
      <c r="H102" s="90" t="n"/>
      <c r="I102" s="90">
        <f>CEILING(IF((F102+G102+19)&lt;101,3,IF((F102+G102+19)*0.03&lt;10,(F102+G102+19)*0.03,10)),1)</f>
        <v/>
      </c>
      <c r="J102" s="90" t="n">
        <v>13</v>
      </c>
      <c r="K102" s="90" t="n"/>
      <c r="L102" s="90" t="n"/>
      <c r="M102" s="90" t="n">
        <v>1</v>
      </c>
      <c r="N102" s="90" t="n">
        <v>5</v>
      </c>
      <c r="O102" s="90" t="n"/>
      <c r="P102" s="90">
        <f>+SUM(H102:O102)</f>
        <v/>
      </c>
      <c r="Q102" s="90">
        <f>+F102+P102</f>
        <v/>
      </c>
      <c r="R102" s="91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89">
        <f>SUBSTITUTE(D103, "*", "-")</f>
        <v/>
      </c>
      <c r="B103" s="90">
        <f>IFERROR(VLOOKUP(D103,#REF!, 8, 0), "")</f>
        <v/>
      </c>
      <c r="C103" s="90" t="n"/>
      <c r="D103" s="89" t="inlineStr">
        <is>
          <t>RS*B60N10MR5</t>
        </is>
      </c>
      <c r="E103" s="46" t="n"/>
      <c r="F103" s="90" t="n"/>
      <c r="G103" s="90">
        <f>CEILING(IF((F103+19)&lt;101,3,IF((F103+19)*0.03&lt;10,(F103+19)*0.03,10)),1)</f>
        <v/>
      </c>
      <c r="H103" s="90" t="n"/>
      <c r="I103" s="90">
        <f>CEILING(IF((F103+G103+19)&lt;101,3,IF((F103+G103+19)*0.03&lt;10,(F103+G103+19)*0.03,10)),1)</f>
        <v/>
      </c>
      <c r="J103" s="90" t="n">
        <v>13</v>
      </c>
      <c r="K103" s="90" t="n"/>
      <c r="L103" s="90" t="n"/>
      <c r="M103" s="90" t="n">
        <v>1</v>
      </c>
      <c r="N103" s="90" t="n">
        <v>5</v>
      </c>
      <c r="O103" s="90" t="n"/>
      <c r="P103" s="90">
        <f>+SUM(H103:O103)</f>
        <v/>
      </c>
      <c r="Q103" s="90">
        <f>+F103+P103</f>
        <v/>
      </c>
      <c r="R103" s="91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89">
        <f>SUBSTITUTE(D104, "*", "-")</f>
        <v/>
      </c>
      <c r="B104" s="90">
        <f>IFERROR(VLOOKUP(D104,#REF!, 8, 0), "")</f>
        <v/>
      </c>
      <c r="C104" s="90" t="n"/>
      <c r="D104" s="89" t="inlineStr">
        <is>
          <t>RS*B60N10SQ</t>
        </is>
      </c>
      <c r="E104" s="46" t="n"/>
      <c r="F104" s="90" t="n"/>
      <c r="G104" s="90">
        <f>CEILING(IF((F104+19)&lt;101,3,IF((F104+19)*0.03&lt;10,(F104+19)*0.03,10)),1)</f>
        <v/>
      </c>
      <c r="H104" s="90" t="n"/>
      <c r="I104" s="90">
        <f>CEILING(IF((F104+G104+19)&lt;101,3,IF((F104+G104+19)*0.03&lt;10,(F104+G104+19)*0.03,10)),1)</f>
        <v/>
      </c>
      <c r="J104" s="90" t="n">
        <v>13</v>
      </c>
      <c r="K104" s="90" t="n"/>
      <c r="L104" s="90" t="n"/>
      <c r="M104" s="90" t="n">
        <v>1</v>
      </c>
      <c r="N104" s="90" t="n">
        <v>5</v>
      </c>
      <c r="O104" s="90" t="n"/>
      <c r="P104" s="90">
        <f>+SUM(H104:O104)</f>
        <v/>
      </c>
      <c r="Q104" s="90">
        <f>+F104+P104</f>
        <v/>
      </c>
      <c r="R104" s="91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89">
        <f>SUBSTITUTE(D105, "*", "-")</f>
        <v/>
      </c>
      <c r="B105" s="90">
        <f>IFERROR(VLOOKUP(D105,#REF!, 8, 0), "")</f>
        <v/>
      </c>
      <c r="C105" s="90" t="n"/>
      <c r="D105" s="89" t="inlineStr">
        <is>
          <t>RS*B60N25AQ</t>
        </is>
      </c>
      <c r="E105" s="46" t="n"/>
      <c r="F105" s="90" t="n"/>
      <c r="G105" s="90">
        <f>CEILING(IF((F105+19)&lt;101,3,IF((F105+19)*0.03&lt;10,(F105+19)*0.03,10)),1)</f>
        <v/>
      </c>
      <c r="H105" s="90" t="n"/>
      <c r="I105" s="90">
        <f>CEILING(IF((F105+G105+19)&lt;101,3,IF((F105+G105+19)*0.03&lt;10,(F105+G105+19)*0.03,10)),1)</f>
        <v/>
      </c>
      <c r="J105" s="90" t="n">
        <v>13</v>
      </c>
      <c r="K105" s="90" t="n"/>
      <c r="L105" s="90" t="n"/>
      <c r="M105" s="90" t="n">
        <v>1</v>
      </c>
      <c r="N105" s="90" t="n">
        <v>5</v>
      </c>
      <c r="O105" s="90" t="n"/>
      <c r="P105" s="90">
        <f>+SUM(H105:O105)</f>
        <v/>
      </c>
      <c r="Q105" s="90">
        <f>+F105+P105</f>
        <v/>
      </c>
      <c r="R105" s="91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89">
        <f>SUBSTITUTE(D106, "*", "-")</f>
        <v/>
      </c>
      <c r="B106" s="90">
        <f>IFERROR(VLOOKUP(D106,#REF!, 8, 0), "")</f>
        <v/>
      </c>
      <c r="C106" s="90" t="n"/>
      <c r="D106" s="89" t="inlineStr">
        <is>
          <t>RS*B60N25AQ5</t>
        </is>
      </c>
      <c r="E106" s="46" t="n"/>
      <c r="F106" s="90" t="n"/>
      <c r="G106" s="90">
        <f>CEILING(IF((F106+19)&lt;101,3,IF((F106+19)*0.03&lt;10,(F106+19)*0.03,10)),1)</f>
        <v/>
      </c>
      <c r="H106" s="90" t="n"/>
      <c r="I106" s="90">
        <f>CEILING(IF((F106+G106+19)&lt;101,3,IF((F106+G106+19)*0.03&lt;10,(F106+G106+19)*0.03,10)),1)</f>
        <v/>
      </c>
      <c r="J106" s="90" t="n">
        <v>13</v>
      </c>
      <c r="K106" s="90" t="n"/>
      <c r="L106" s="90" t="n"/>
      <c r="M106" s="90" t="n">
        <v>1</v>
      </c>
      <c r="N106" s="90" t="n">
        <v>5</v>
      </c>
      <c r="O106" s="90" t="n"/>
      <c r="P106" s="90">
        <f>+SUM(H106:O106)</f>
        <v/>
      </c>
      <c r="Q106" s="90">
        <f>+F106+P106</f>
        <v/>
      </c>
      <c r="R106" s="91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89">
        <f>SUBSTITUTE(D107, "*", "-")</f>
        <v/>
      </c>
      <c r="B107" s="90">
        <f>IFERROR(VLOOKUP(D107,#REF!, 8, 0), "")</f>
        <v/>
      </c>
      <c r="C107" s="90" t="n"/>
      <c r="D107" s="89" t="inlineStr">
        <is>
          <t>RS*B60N25MQ</t>
        </is>
      </c>
      <c r="E107" s="46" t="n"/>
      <c r="F107" s="90" t="n"/>
      <c r="G107" s="90">
        <f>CEILING(IF((F107+19)&lt;101,3,IF((F107+19)*0.03&lt;10,(F107+19)*0.03,10)),1)</f>
        <v/>
      </c>
      <c r="H107" s="90" t="n"/>
      <c r="I107" s="90">
        <f>CEILING(IF((F107+G107+19)&lt;101,3,IF((F107+G107+19)*0.03&lt;10,(F107+G107+19)*0.03,10)),1)</f>
        <v/>
      </c>
      <c r="J107" s="90" t="n">
        <v>13</v>
      </c>
      <c r="K107" s="90" t="n"/>
      <c r="L107" s="90" t="n"/>
      <c r="M107" s="90" t="n">
        <v>1</v>
      </c>
      <c r="N107" s="90" t="n">
        <v>5</v>
      </c>
      <c r="O107" s="90" t="n"/>
      <c r="P107" s="90">
        <f>+SUM(H107:O107)</f>
        <v/>
      </c>
      <c r="Q107" s="90">
        <f>+F107+P107</f>
        <v/>
      </c>
      <c r="R107" s="91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89">
        <f>SUBSTITUTE(D108, "*", "-")</f>
        <v/>
      </c>
      <c r="B108" s="90">
        <f>IFERROR(VLOOKUP(D108,#REF!, 8, 0), "")</f>
        <v/>
      </c>
      <c r="C108" s="90" t="n"/>
      <c r="D108" s="89" t="inlineStr">
        <is>
          <t>RS*B70K10MQ</t>
        </is>
      </c>
      <c r="E108" s="46" t="n"/>
      <c r="F108" s="90" t="n"/>
      <c r="G108" s="90">
        <f>CEILING(IF((F108+19)&lt;101,3,IF((F108+19)*0.03&lt;10,(F108+19)*0.03,10)),1)</f>
        <v/>
      </c>
      <c r="H108" s="90" t="n"/>
      <c r="I108" s="90">
        <f>CEILING(IF((F108+G108+19)&lt;101,3,IF((F108+G108+19)*0.03&lt;10,(F108+G108+19)*0.03,10)),1)</f>
        <v/>
      </c>
      <c r="J108" s="90" t="n">
        <v>13</v>
      </c>
      <c r="K108" s="90" t="n"/>
      <c r="L108" s="90" t="n"/>
      <c r="M108" s="90" t="n">
        <v>1</v>
      </c>
      <c r="N108" s="90" t="n">
        <v>5</v>
      </c>
      <c r="O108" s="90" t="n"/>
      <c r="P108" s="90">
        <f>+SUM(H108:O108)</f>
        <v/>
      </c>
      <c r="Q108" s="90">
        <f>+F108+P108</f>
        <v/>
      </c>
      <c r="R108" s="91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89">
        <f>SUBSTITUTE(D109, "*", "-")</f>
        <v/>
      </c>
      <c r="B109" s="90">
        <f>IFERROR(VLOOKUP(D109,#REF!, 8, 0), "")</f>
        <v/>
      </c>
      <c r="C109" s="90" t="n"/>
      <c r="D109" s="89" t="inlineStr">
        <is>
          <t>RS*B70K10MR</t>
        </is>
      </c>
      <c r="E109" s="46" t="n"/>
      <c r="F109" s="90" t="n"/>
      <c r="G109" s="90">
        <f>CEILING(IF((F109+19)&lt;101,3,IF((F109+19)*0.03&lt;10,(F109+19)*0.03,10)),1)</f>
        <v/>
      </c>
      <c r="H109" s="90" t="n"/>
      <c r="I109" s="90">
        <f>CEILING(IF((F109+G109+19)&lt;101,3,IF((F109+G109+19)*0.03&lt;10,(F109+G109+19)*0.03,10)),1)</f>
        <v/>
      </c>
      <c r="J109" s="90" t="n">
        <v>13</v>
      </c>
      <c r="K109" s="90" t="n"/>
      <c r="L109" s="90" t="n"/>
      <c r="M109" s="90" t="n">
        <v>1</v>
      </c>
      <c r="N109" s="90" t="n">
        <v>5</v>
      </c>
      <c r="O109" s="90" t="n"/>
      <c r="P109" s="90">
        <f>+SUM(H109:O109)</f>
        <v/>
      </c>
      <c r="Q109" s="90">
        <f>+F109+P109</f>
        <v/>
      </c>
      <c r="R109" s="91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89">
        <f>SUBSTITUTE(D110, "*", "-")</f>
        <v/>
      </c>
      <c r="B110" s="90">
        <f>IFERROR(VLOOKUP(D110,#REF!, 8, 0), "")</f>
        <v/>
      </c>
      <c r="C110" s="90" t="n"/>
      <c r="D110" s="89" t="inlineStr">
        <is>
          <t>RS*B70K10SQ</t>
        </is>
      </c>
      <c r="E110" s="46" t="n"/>
      <c r="F110" s="90" t="n"/>
      <c r="G110" s="90">
        <f>CEILING(IF((F110+19)&lt;101,3,IF((F110+19)*0.03&lt;10,(F110+19)*0.03,10)),1)</f>
        <v/>
      </c>
      <c r="H110" s="90" t="n"/>
      <c r="I110" s="90">
        <f>CEILING(IF((F110+G110+19)&lt;101,3,IF((F110+G110+19)*0.03&lt;10,(F110+G110+19)*0.03,10)),1)</f>
        <v/>
      </c>
      <c r="J110" s="90" t="n">
        <v>13</v>
      </c>
      <c r="K110" s="90" t="n"/>
      <c r="L110" s="90" t="n"/>
      <c r="M110" s="90" t="n">
        <v>1</v>
      </c>
      <c r="N110" s="90" t="n">
        <v>5</v>
      </c>
      <c r="O110" s="90" t="n"/>
      <c r="P110" s="90">
        <f>+SUM(H110:O110)</f>
        <v/>
      </c>
      <c r="Q110" s="90">
        <f>+F110+P110</f>
        <v/>
      </c>
      <c r="R110" s="91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89">
        <f>SUBSTITUTE(D111, "*", "-")</f>
        <v/>
      </c>
      <c r="B111" s="90">
        <f>IFERROR(VLOOKUP(D111,#REF!, 8, 0), "")</f>
        <v/>
      </c>
      <c r="C111" s="90" t="n"/>
      <c r="D111" s="89" t="inlineStr">
        <is>
          <t>RS*B70K25AQ</t>
        </is>
      </c>
      <c r="E111" s="46" t="n"/>
      <c r="F111" s="90" t="n"/>
      <c r="G111" s="90">
        <f>CEILING(IF((F111+19)&lt;101,3,IF((F111+19)*0.03&lt;10,(F111+19)*0.03,10)),1)</f>
        <v/>
      </c>
      <c r="H111" s="90" t="n"/>
      <c r="I111" s="90">
        <f>CEILING(IF((F111+G111+19)&lt;101,3,IF((F111+G111+19)*0.03&lt;10,(F111+G111+19)*0.03,10)),1)</f>
        <v/>
      </c>
      <c r="J111" s="90" t="n">
        <v>13</v>
      </c>
      <c r="K111" s="90" t="n"/>
      <c r="L111" s="90" t="n"/>
      <c r="M111" s="90" t="n">
        <v>1</v>
      </c>
      <c r="N111" s="90" t="n">
        <v>5</v>
      </c>
      <c r="O111" s="90" t="n"/>
      <c r="P111" s="90">
        <f>+SUM(H111:O111)</f>
        <v/>
      </c>
      <c r="Q111" s="90">
        <f>+F111+P111</f>
        <v/>
      </c>
      <c r="R111" s="91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89">
        <f>SUBSTITUTE(D112, "*", "-")</f>
        <v/>
      </c>
      <c r="B112" s="90">
        <f>IFERROR(VLOOKUP(D112,#REF!, 8, 0), "")</f>
        <v/>
      </c>
      <c r="C112" s="90" t="n"/>
      <c r="D112" s="89" t="inlineStr">
        <is>
          <t>RS*B70N10MQ</t>
        </is>
      </c>
      <c r="E112" s="46" t="n"/>
      <c r="F112" s="90" t="n"/>
      <c r="G112" s="90">
        <f>CEILING(IF((F112+19)&lt;101,3,IF((F112+19)*0.03&lt;10,(F112+19)*0.03,10)),1)</f>
        <v/>
      </c>
      <c r="H112" s="90" t="n"/>
      <c r="I112" s="90">
        <f>CEILING(IF((F112+G112+19)&lt;101,3,IF((F112+G112+19)*0.03&lt;10,(F112+G112+19)*0.03,10)),1)</f>
        <v/>
      </c>
      <c r="J112" s="90" t="n">
        <v>13</v>
      </c>
      <c r="K112" s="90" t="n"/>
      <c r="L112" s="90" t="n"/>
      <c r="M112" s="90" t="n">
        <v>1</v>
      </c>
      <c r="N112" s="90" t="n">
        <v>5</v>
      </c>
      <c r="O112" s="90" t="n"/>
      <c r="P112" s="90">
        <f>+SUM(H112:O112)</f>
        <v/>
      </c>
      <c r="Q112" s="90">
        <f>+F112+P112</f>
        <v/>
      </c>
      <c r="R112" s="91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89">
        <f>SUBSTITUTE(D113, "*", "-")</f>
        <v/>
      </c>
      <c r="B113" s="90">
        <f>IFERROR(VLOOKUP(D113,#REF!, 8, 0), "")</f>
        <v/>
      </c>
      <c r="C113" s="90" t="n"/>
      <c r="D113" s="89" t="inlineStr">
        <is>
          <t>RS*B70N10MR</t>
        </is>
      </c>
      <c r="E113" s="46" t="n"/>
      <c r="F113" s="90" t="n"/>
      <c r="G113" s="90">
        <f>CEILING(IF((F113+19)&lt;101,3,IF((F113+19)*0.03&lt;10,(F113+19)*0.03,10)),1)</f>
        <v/>
      </c>
      <c r="H113" s="90" t="n"/>
      <c r="I113" s="90">
        <f>CEILING(IF((F113+G113+19)&lt;101,3,IF((F113+G113+19)*0.03&lt;10,(F113+G113+19)*0.03,10)),1)</f>
        <v/>
      </c>
      <c r="J113" s="90" t="n">
        <v>13</v>
      </c>
      <c r="K113" s="90" t="n"/>
      <c r="L113" s="90" t="n"/>
      <c r="M113" s="90" t="n">
        <v>1</v>
      </c>
      <c r="N113" s="90" t="n">
        <v>5</v>
      </c>
      <c r="O113" s="90" t="n"/>
      <c r="P113" s="90">
        <f>+SUM(H113:O113)</f>
        <v/>
      </c>
      <c r="Q113" s="90">
        <f>+F113+P113</f>
        <v/>
      </c>
      <c r="R113" s="91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89">
        <f>SUBSTITUTE(D114, "*", "-")</f>
        <v/>
      </c>
      <c r="B114" s="90">
        <f>IFERROR(VLOOKUP(D114,#REF!, 8, 0), "")</f>
        <v/>
      </c>
      <c r="C114" s="90" t="n"/>
      <c r="D114" s="89" t="inlineStr">
        <is>
          <t>RS*B70N10MR5</t>
        </is>
      </c>
      <c r="E114" s="46" t="n"/>
      <c r="F114" s="90" t="n"/>
      <c r="G114" s="90">
        <f>CEILING(IF((F114+19)&lt;101,3,IF((F114+19)*0.03&lt;10,(F114+19)*0.03,10)),1)</f>
        <v/>
      </c>
      <c r="H114" s="90" t="n"/>
      <c r="I114" s="90">
        <f>CEILING(IF((F114+G114+19)&lt;101,3,IF((F114+G114+19)*0.03&lt;10,(F114+G114+19)*0.03,10)),1)</f>
        <v/>
      </c>
      <c r="J114" s="90" t="n">
        <v>13</v>
      </c>
      <c r="K114" s="90" t="n"/>
      <c r="L114" s="90" t="n"/>
      <c r="M114" s="90" t="n">
        <v>1</v>
      </c>
      <c r="N114" s="90" t="n">
        <v>5</v>
      </c>
      <c r="O114" s="90" t="n"/>
      <c r="P114" s="90">
        <f>+SUM(H114:O114)</f>
        <v/>
      </c>
      <c r="Q114" s="90">
        <f>+F114+P114</f>
        <v/>
      </c>
      <c r="R114" s="91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89">
        <f>SUBSTITUTE(D115, "*", "-")</f>
        <v/>
      </c>
      <c r="B115" s="90">
        <f>IFERROR(VLOOKUP(D115,#REF!, 8, 0), "")</f>
        <v/>
      </c>
      <c r="C115" s="90" t="n"/>
      <c r="D115" s="89" t="inlineStr">
        <is>
          <t>RS*B70N10SQ</t>
        </is>
      </c>
      <c r="E115" s="46" t="n"/>
      <c r="F115" s="90" t="n"/>
      <c r="G115" s="90">
        <f>CEILING(IF((F115+19)&lt;101,3,IF((F115+19)*0.03&lt;10,(F115+19)*0.03,10)),1)</f>
        <v/>
      </c>
      <c r="H115" s="90" t="n"/>
      <c r="I115" s="90">
        <f>CEILING(IF((F115+G115+19)&lt;101,3,IF((F115+G115+19)*0.03&lt;10,(F115+G115+19)*0.03,10)),1)</f>
        <v/>
      </c>
      <c r="J115" s="90" t="n">
        <v>13</v>
      </c>
      <c r="K115" s="90" t="n"/>
      <c r="L115" s="90" t="n"/>
      <c r="M115" s="90" t="n">
        <v>1</v>
      </c>
      <c r="N115" s="90" t="n">
        <v>5</v>
      </c>
      <c r="O115" s="90" t="n"/>
      <c r="P115" s="90">
        <f>+SUM(H115:O115)</f>
        <v/>
      </c>
      <c r="Q115" s="90">
        <f>+F115+P115</f>
        <v/>
      </c>
      <c r="R115" s="91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89">
        <f>SUBSTITUTE(D116, "*", "-")</f>
        <v/>
      </c>
      <c r="B116" s="90">
        <f>IFERROR(VLOOKUP(D116,#REF!, 8, 0), "")</f>
        <v/>
      </c>
      <c r="C116" s="90" t="n"/>
      <c r="D116" s="89" t="inlineStr">
        <is>
          <t>RS*B70N25AQ</t>
        </is>
      </c>
      <c r="E116" s="46" t="n"/>
      <c r="F116" s="90" t="n"/>
      <c r="G116" s="90">
        <f>CEILING(IF((F116+19)&lt;101,3,IF((F116+19)*0.03&lt;10,(F116+19)*0.03,10)),1)</f>
        <v/>
      </c>
      <c r="H116" s="90" t="n"/>
      <c r="I116" s="90">
        <f>CEILING(IF((F116+G116+19)&lt;101,3,IF((F116+G116+19)*0.03&lt;10,(F116+G116+19)*0.03,10)),1)</f>
        <v/>
      </c>
      <c r="J116" s="90" t="n">
        <v>13</v>
      </c>
      <c r="K116" s="90" t="n"/>
      <c r="L116" s="90" t="n"/>
      <c r="M116" s="90" t="n">
        <v>1</v>
      </c>
      <c r="N116" s="90" t="n">
        <v>5</v>
      </c>
      <c r="O116" s="90" t="n"/>
      <c r="P116" s="90">
        <f>+SUM(H116:O116)</f>
        <v/>
      </c>
      <c r="Q116" s="90">
        <f>+F116+P116</f>
        <v/>
      </c>
      <c r="R116" s="91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89">
        <f>SUBSTITUTE(D117, "*", "-")</f>
        <v/>
      </c>
      <c r="B117" s="90">
        <f>IFERROR(VLOOKUP(D117,#REF!, 8, 0), "")</f>
        <v/>
      </c>
      <c r="C117" s="90" t="n"/>
      <c r="D117" s="89" t="inlineStr">
        <is>
          <t>RS*B70N25AQ5</t>
        </is>
      </c>
      <c r="E117" s="46" t="n"/>
      <c r="F117" s="90" t="n"/>
      <c r="G117" s="90">
        <f>CEILING(IF((F117+19)&lt;101,3,IF((F117+19)*0.03&lt;10,(F117+19)*0.03,10)),1)</f>
        <v/>
      </c>
      <c r="H117" s="90" t="n"/>
      <c r="I117" s="90">
        <f>CEILING(IF((F117+G117+19)&lt;101,3,IF((F117+G117+19)*0.03&lt;10,(F117+G117+19)*0.03,10)),1)</f>
        <v/>
      </c>
      <c r="J117" s="90" t="n">
        <v>13</v>
      </c>
      <c r="K117" s="90" t="n"/>
      <c r="L117" s="90" t="n"/>
      <c r="M117" s="90" t="n">
        <v>1</v>
      </c>
      <c r="N117" s="90" t="n">
        <v>5</v>
      </c>
      <c r="O117" s="90" t="n"/>
      <c r="P117" s="90">
        <f>+SUM(H117:O117)</f>
        <v/>
      </c>
      <c r="Q117" s="90">
        <f>+F117+P117</f>
        <v/>
      </c>
      <c r="R117" s="91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89">
        <f>SUBSTITUTE(D118, "*", "-")</f>
        <v/>
      </c>
      <c r="B118" s="90">
        <f>IFERROR(VLOOKUP(D118,#REF!, 8, 0), "")</f>
        <v/>
      </c>
      <c r="C118" s="90" t="n"/>
      <c r="D118" s="89" t="inlineStr">
        <is>
          <t>RS*B70N25MQ</t>
        </is>
      </c>
      <c r="E118" s="46" t="n"/>
      <c r="F118" s="90" t="n"/>
      <c r="G118" s="90">
        <f>CEILING(IF((F118+19)&lt;101,3,IF((F118+19)*0.03&lt;10,(F118+19)*0.03,10)),1)</f>
        <v/>
      </c>
      <c r="H118" s="90" t="n"/>
      <c r="I118" s="90">
        <f>CEILING(IF((F118+G118+19)&lt;101,3,IF((F118+G118+19)*0.03&lt;10,(F118+G118+19)*0.03,10)),1)</f>
        <v/>
      </c>
      <c r="J118" s="90" t="n">
        <v>13</v>
      </c>
      <c r="K118" s="90" t="n"/>
      <c r="L118" s="90" t="n"/>
      <c r="M118" s="90" t="n">
        <v>1</v>
      </c>
      <c r="N118" s="90" t="n">
        <v>5</v>
      </c>
      <c r="O118" s="90" t="n"/>
      <c r="P118" s="90">
        <f>+SUM(H118:O118)</f>
        <v/>
      </c>
      <c r="Q118" s="90">
        <f>+F118+P118</f>
        <v/>
      </c>
      <c r="R118" s="91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89">
        <f>SUBSTITUTE(D119, "*", "-")</f>
        <v/>
      </c>
      <c r="B119" s="90">
        <f>IFERROR(VLOOKUP(D119,#REF!, 8, 0), "")</f>
        <v/>
      </c>
      <c r="C119" s="90" t="n"/>
      <c r="D119" s="89" t="inlineStr">
        <is>
          <t>RS*B80K10MQ</t>
        </is>
      </c>
      <c r="E119" s="46" t="n"/>
      <c r="F119" s="90" t="n"/>
      <c r="G119" s="90">
        <f>CEILING(IF((F119+19)&lt;101,3,IF((F119+19)*0.03&lt;10,(F119+19)*0.03,10)),1)</f>
        <v/>
      </c>
      <c r="H119" s="90" t="n"/>
      <c r="I119" s="90">
        <f>CEILING(IF((F119+G119+19)&lt;101,3,IF((F119+G119+19)*0.03&lt;10,(F119+G119+19)*0.03,10)),1)</f>
        <v/>
      </c>
      <c r="J119" s="90" t="n">
        <v>13</v>
      </c>
      <c r="K119" s="90" t="n"/>
      <c r="L119" s="90" t="n"/>
      <c r="M119" s="90" t="n">
        <v>1</v>
      </c>
      <c r="N119" s="90" t="n">
        <v>5</v>
      </c>
      <c r="O119" s="90" t="n"/>
      <c r="P119" s="90">
        <f>+SUM(H119:O119)</f>
        <v/>
      </c>
      <c r="Q119" s="90">
        <f>+F119+P119</f>
        <v/>
      </c>
      <c r="R119" s="91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89">
        <f>SUBSTITUTE(D120, "*", "-")</f>
        <v/>
      </c>
      <c r="B120" s="90">
        <f>IFERROR(VLOOKUP(D120,#REF!, 8, 0), "")</f>
        <v/>
      </c>
      <c r="C120" s="90" t="n"/>
      <c r="D120" s="89" t="inlineStr">
        <is>
          <t>RS*B80K10MR</t>
        </is>
      </c>
      <c r="E120" s="46" t="n"/>
      <c r="F120" s="90" t="n"/>
      <c r="G120" s="90">
        <f>CEILING(IF((F120+19)&lt;101,3,IF((F120+19)*0.03&lt;10,(F120+19)*0.03,10)),1)</f>
        <v/>
      </c>
      <c r="H120" s="90" t="n"/>
      <c r="I120" s="90">
        <f>CEILING(IF((F120+G120+19)&lt;101,3,IF((F120+G120+19)*0.03&lt;10,(F120+G120+19)*0.03,10)),1)</f>
        <v/>
      </c>
      <c r="J120" s="90" t="n">
        <v>13</v>
      </c>
      <c r="K120" s="90" t="n"/>
      <c r="L120" s="90" t="n"/>
      <c r="M120" s="90" t="n">
        <v>1</v>
      </c>
      <c r="N120" s="90" t="n">
        <v>5</v>
      </c>
      <c r="O120" s="90" t="n"/>
      <c r="P120" s="90">
        <f>+SUM(H120:O120)</f>
        <v/>
      </c>
      <c r="Q120" s="90">
        <f>+F120+P120</f>
        <v/>
      </c>
      <c r="R120" s="91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89">
        <f>SUBSTITUTE(D121, "*", "-")</f>
        <v/>
      </c>
      <c r="B121" s="90">
        <f>IFERROR(VLOOKUP(D121,#REF!, 8, 0), "")</f>
        <v/>
      </c>
      <c r="C121" s="90" t="n"/>
      <c r="D121" s="89" t="inlineStr">
        <is>
          <t>RS*B80K10SQ</t>
        </is>
      </c>
      <c r="E121" s="46" t="n"/>
      <c r="F121" s="90" t="n"/>
      <c r="G121" s="90">
        <f>CEILING(IF((F121+19)&lt;101,3,IF((F121+19)*0.03&lt;10,(F121+19)*0.03,10)),1)</f>
        <v/>
      </c>
      <c r="H121" s="90" t="n"/>
      <c r="I121" s="90">
        <f>CEILING(IF((F121+G121+19)&lt;101,3,IF((F121+G121+19)*0.03&lt;10,(F121+G121+19)*0.03,10)),1)</f>
        <v/>
      </c>
      <c r="J121" s="90" t="n">
        <v>13</v>
      </c>
      <c r="K121" s="90" t="n"/>
      <c r="L121" s="90" t="n"/>
      <c r="M121" s="90" t="n">
        <v>1</v>
      </c>
      <c r="N121" s="90" t="n">
        <v>5</v>
      </c>
      <c r="O121" s="90" t="n"/>
      <c r="P121" s="90">
        <f>+SUM(H121:O121)</f>
        <v/>
      </c>
      <c r="Q121" s="90">
        <f>+F121+P121</f>
        <v/>
      </c>
      <c r="R121" s="91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89">
        <f>SUBSTITUTE(D122, "*", "-")</f>
        <v/>
      </c>
      <c r="B122" s="90">
        <f>IFERROR(VLOOKUP(D122,#REF!, 8, 0), "")</f>
        <v/>
      </c>
      <c r="C122" s="90" t="n"/>
      <c r="D122" s="89" t="inlineStr">
        <is>
          <t>RS*B80K25AQ</t>
        </is>
      </c>
      <c r="E122" s="46" t="n"/>
      <c r="F122" s="90" t="n"/>
      <c r="G122" s="90">
        <f>CEILING(IF((F122+19)&lt;101,3,IF((F122+19)*0.03&lt;10,(F122+19)*0.03,10)),1)</f>
        <v/>
      </c>
      <c r="H122" s="90" t="n"/>
      <c r="I122" s="90">
        <f>CEILING(IF((F122+G122+19)&lt;101,3,IF((F122+G122+19)*0.03&lt;10,(F122+G122+19)*0.03,10)),1)</f>
        <v/>
      </c>
      <c r="J122" s="90" t="n">
        <v>13</v>
      </c>
      <c r="K122" s="90" t="n"/>
      <c r="L122" s="90" t="n"/>
      <c r="M122" s="90" t="n">
        <v>1</v>
      </c>
      <c r="N122" s="90" t="n">
        <v>5</v>
      </c>
      <c r="O122" s="90" t="n"/>
      <c r="P122" s="90">
        <f>+SUM(H122:O122)</f>
        <v/>
      </c>
      <c r="Q122" s="90">
        <f>+F122+P122</f>
        <v/>
      </c>
      <c r="R122" s="91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89">
        <f>SUBSTITUTE(D123, "*", "-")</f>
        <v/>
      </c>
      <c r="B123" s="90">
        <f>IFERROR(VLOOKUP(D123,#REF!, 8, 0), "")</f>
        <v/>
      </c>
      <c r="C123" s="90" t="n"/>
      <c r="D123" s="89" t="inlineStr">
        <is>
          <t>RS*B80N10MQ</t>
        </is>
      </c>
      <c r="E123" s="46" t="n"/>
      <c r="F123" s="90" t="n"/>
      <c r="G123" s="90">
        <f>CEILING(IF((F123+19)&lt;101,3,IF((F123+19)*0.03&lt;10,(F123+19)*0.03,10)),1)</f>
        <v/>
      </c>
      <c r="H123" s="90" t="n"/>
      <c r="I123" s="90">
        <f>CEILING(IF((F123+G123+19)&lt;101,3,IF((F123+G123+19)*0.03&lt;10,(F123+G123+19)*0.03,10)),1)</f>
        <v/>
      </c>
      <c r="J123" s="90" t="n">
        <v>13</v>
      </c>
      <c r="K123" s="90" t="n"/>
      <c r="L123" s="90" t="n"/>
      <c r="M123" s="90" t="n">
        <v>1</v>
      </c>
      <c r="N123" s="90" t="n">
        <v>5</v>
      </c>
      <c r="O123" s="90" t="n"/>
      <c r="P123" s="90">
        <f>+SUM(H123:O123)</f>
        <v/>
      </c>
      <c r="Q123" s="90">
        <f>+F123+P123</f>
        <v/>
      </c>
      <c r="R123" s="91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89">
        <f>SUBSTITUTE(D124, "*", "-")</f>
        <v/>
      </c>
      <c r="B124" s="90">
        <f>IFERROR(VLOOKUP(D124,#REF!, 8, 0), "")</f>
        <v/>
      </c>
      <c r="C124" s="90" t="n"/>
      <c r="D124" s="89" t="inlineStr">
        <is>
          <t>RS*B80N10MR</t>
        </is>
      </c>
      <c r="E124" s="46" t="n"/>
      <c r="F124" s="90" t="n"/>
      <c r="G124" s="90">
        <f>CEILING(IF((F124+19)&lt;101,3,IF((F124+19)*0.03&lt;10,(F124+19)*0.03,10)),1)</f>
        <v/>
      </c>
      <c r="H124" s="90" t="n"/>
      <c r="I124" s="90">
        <f>CEILING(IF((F124+G124+19)&lt;101,3,IF((F124+G124+19)*0.03&lt;10,(F124+G124+19)*0.03,10)),1)</f>
        <v/>
      </c>
      <c r="J124" s="90" t="n">
        <v>13</v>
      </c>
      <c r="K124" s="90" t="n"/>
      <c r="L124" s="90" t="n"/>
      <c r="M124" s="90" t="n">
        <v>1</v>
      </c>
      <c r="N124" s="90" t="n">
        <v>5</v>
      </c>
      <c r="O124" s="90" t="n"/>
      <c r="P124" s="90">
        <f>+SUM(H124:O124)</f>
        <v/>
      </c>
      <c r="Q124" s="90">
        <f>+F124+P124</f>
        <v/>
      </c>
      <c r="R124" s="91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89">
        <f>SUBSTITUTE(D125, "*", "-")</f>
        <v/>
      </c>
      <c r="B125" s="90">
        <f>IFERROR(VLOOKUP(D125,#REF!, 8, 0), "")</f>
        <v/>
      </c>
      <c r="C125" s="90" t="n"/>
      <c r="D125" s="89" t="inlineStr">
        <is>
          <t>RS*B80N10MR5</t>
        </is>
      </c>
      <c r="E125" s="46" t="n"/>
      <c r="F125" s="90" t="n"/>
      <c r="G125" s="90">
        <f>CEILING(IF((F125+19)&lt;101,3,IF((F125+19)*0.03&lt;10,(F125+19)*0.03,10)),1)</f>
        <v/>
      </c>
      <c r="H125" s="90" t="n"/>
      <c r="I125" s="90">
        <f>CEILING(IF((F125+G125+19)&lt;101,3,IF((F125+G125+19)*0.03&lt;10,(F125+G125+19)*0.03,10)),1)</f>
        <v/>
      </c>
      <c r="J125" s="90" t="n">
        <v>13</v>
      </c>
      <c r="K125" s="90" t="n"/>
      <c r="L125" s="90" t="n"/>
      <c r="M125" s="90" t="n">
        <v>1</v>
      </c>
      <c r="N125" s="90" t="n">
        <v>5</v>
      </c>
      <c r="O125" s="90" t="n"/>
      <c r="P125" s="90">
        <f>+SUM(H125:O125)</f>
        <v/>
      </c>
      <c r="Q125" s="90">
        <f>+F125+P125</f>
        <v/>
      </c>
      <c r="R125" s="91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89">
        <f>SUBSTITUTE(D126, "*", "-")</f>
        <v/>
      </c>
      <c r="B126" s="90">
        <f>IFERROR(VLOOKUP(D126,#REF!, 8, 0), "")</f>
        <v/>
      </c>
      <c r="C126" s="90" t="n"/>
      <c r="D126" s="89" t="inlineStr">
        <is>
          <t>RS*B80N10SQ</t>
        </is>
      </c>
      <c r="E126" s="46" t="n"/>
      <c r="F126" s="90" t="n"/>
      <c r="G126" s="90">
        <f>CEILING(IF((F126+19)&lt;101,3,IF((F126+19)*0.03&lt;10,(F126+19)*0.03,10)),1)</f>
        <v/>
      </c>
      <c r="H126" s="90" t="n"/>
      <c r="I126" s="90">
        <f>CEILING(IF((F126+G126+19)&lt;101,3,IF((F126+G126+19)*0.03&lt;10,(F126+G126+19)*0.03,10)),1)</f>
        <v/>
      </c>
      <c r="J126" s="90" t="n">
        <v>13</v>
      </c>
      <c r="K126" s="90" t="n"/>
      <c r="L126" s="90" t="n"/>
      <c r="M126" s="90" t="n">
        <v>1</v>
      </c>
      <c r="N126" s="90" t="n">
        <v>5</v>
      </c>
      <c r="O126" s="90" t="n"/>
      <c r="P126" s="90">
        <f>+SUM(H126:O126)</f>
        <v/>
      </c>
      <c r="Q126" s="90">
        <f>+F126+P126</f>
        <v/>
      </c>
      <c r="R126" s="91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89">
        <f>SUBSTITUTE(D127, "*", "-")</f>
        <v/>
      </c>
      <c r="B127" s="90">
        <f>IFERROR(VLOOKUP(D127,#REF!, 8, 0), "")</f>
        <v/>
      </c>
      <c r="C127" s="90" t="n"/>
      <c r="D127" s="89" t="inlineStr">
        <is>
          <t>RS*B80N25AQ</t>
        </is>
      </c>
      <c r="E127" s="46" t="n"/>
      <c r="F127" s="90" t="n"/>
      <c r="G127" s="90">
        <f>CEILING(IF((F127+19)&lt;101,3,IF((F127+19)*0.03&lt;10,(F127+19)*0.03,10)),1)</f>
        <v/>
      </c>
      <c r="H127" s="90" t="n"/>
      <c r="I127" s="90">
        <f>CEILING(IF((F127+G127+19)&lt;101,3,IF((F127+G127+19)*0.03&lt;10,(F127+G127+19)*0.03,10)),1)</f>
        <v/>
      </c>
      <c r="J127" s="90" t="n">
        <v>13</v>
      </c>
      <c r="K127" s="90" t="n"/>
      <c r="L127" s="90" t="n"/>
      <c r="M127" s="90" t="n">
        <v>1</v>
      </c>
      <c r="N127" s="90" t="n">
        <v>5</v>
      </c>
      <c r="O127" s="90" t="n"/>
      <c r="P127" s="90">
        <f>+SUM(H127:O127)</f>
        <v/>
      </c>
      <c r="Q127" s="90">
        <f>+F127+P127</f>
        <v/>
      </c>
      <c r="R127" s="91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89">
        <f>SUBSTITUTE(D128, "*", "-")</f>
        <v/>
      </c>
      <c r="B128" s="90">
        <f>IFERROR(VLOOKUP(D128,#REF!, 8, 0), "")</f>
        <v/>
      </c>
      <c r="C128" s="90" t="n"/>
      <c r="D128" s="89" t="inlineStr">
        <is>
          <t>RS*B80N25AQ5</t>
        </is>
      </c>
      <c r="E128" s="46" t="n"/>
      <c r="F128" s="90" t="n"/>
      <c r="G128" s="90">
        <f>CEILING(IF((F128+19)&lt;101,3,IF((F128+19)*0.03&lt;10,(F128+19)*0.03,10)),1)</f>
        <v/>
      </c>
      <c r="H128" s="90" t="n"/>
      <c r="I128" s="90">
        <f>CEILING(IF((F128+G128+19)&lt;101,3,IF((F128+G128+19)*0.03&lt;10,(F128+G128+19)*0.03,10)),1)</f>
        <v/>
      </c>
      <c r="J128" s="90" t="n">
        <v>13</v>
      </c>
      <c r="K128" s="90" t="n"/>
      <c r="L128" s="90" t="n"/>
      <c r="M128" s="90" t="n">
        <v>1</v>
      </c>
      <c r="N128" s="90" t="n">
        <v>5</v>
      </c>
      <c r="O128" s="90" t="n"/>
      <c r="P128" s="90">
        <f>+SUM(H128:O128)</f>
        <v/>
      </c>
      <c r="Q128" s="90">
        <f>+F128+P128</f>
        <v/>
      </c>
      <c r="R128" s="91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89">
        <f>SUBSTITUTE(D129, "*", "-")</f>
        <v/>
      </c>
      <c r="B129" s="90">
        <f>IFERROR(VLOOKUP(D129,#REF!, 8, 0), "")</f>
        <v/>
      </c>
      <c r="C129" s="90" t="n"/>
      <c r="D129" s="89" t="inlineStr">
        <is>
          <t>RS*B80N25MQ</t>
        </is>
      </c>
      <c r="E129" s="46" t="n"/>
      <c r="F129" s="90" t="n"/>
      <c r="G129" s="90">
        <f>CEILING(IF((F129+19)&lt;101,3,IF((F129+19)*0.03&lt;10,(F129+19)*0.03,10)),1)</f>
        <v/>
      </c>
      <c r="H129" s="90" t="n"/>
      <c r="I129" s="90">
        <f>CEILING(IF((F129+G129+19)&lt;101,3,IF((F129+G129+19)*0.03&lt;10,(F129+G129+19)*0.03,10)),1)</f>
        <v/>
      </c>
      <c r="J129" s="90" t="n">
        <v>13</v>
      </c>
      <c r="K129" s="90" t="n"/>
      <c r="L129" s="90" t="n"/>
      <c r="M129" s="90" t="n">
        <v>1</v>
      </c>
      <c r="N129" s="90" t="n">
        <v>5</v>
      </c>
      <c r="O129" s="90" t="n"/>
      <c r="P129" s="90">
        <f>+SUM(H129:O129)</f>
        <v/>
      </c>
      <c r="Q129" s="90">
        <f>+F129+P129</f>
        <v/>
      </c>
      <c r="R129" s="91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89">
        <f>SUBSTITUTE(D130, "*", "-")</f>
        <v/>
      </c>
      <c r="B130" s="90">
        <f>IFERROR(VLOOKUP(D130,#REF!, 8, 0), "")</f>
        <v/>
      </c>
      <c r="C130" s="90" t="n"/>
      <c r="D130" s="89" t="inlineStr">
        <is>
          <t>RS*C40G10NR</t>
        </is>
      </c>
      <c r="E130" s="46" t="n"/>
      <c r="F130" s="90" t="n"/>
      <c r="G130" s="90">
        <f>CEILING(IF((F130+19)&lt;101,3,IF((F130+19)*0.03&lt;10,(F130+19)*0.03,10)),1)</f>
        <v/>
      </c>
      <c r="H130" s="90" t="n"/>
      <c r="I130" s="90">
        <f>CEILING(IF((F130+G130+19)&lt;101,3,IF((F130+G130+19)*0.03&lt;10,(F130+G130+19)*0.03,10)),1)</f>
        <v/>
      </c>
      <c r="J130" s="90" t="n">
        <v>13</v>
      </c>
      <c r="K130" s="90" t="n"/>
      <c r="L130" s="90" t="n"/>
      <c r="M130" s="90" t="n">
        <v>1</v>
      </c>
      <c r="N130" s="90" t="n">
        <v>5</v>
      </c>
      <c r="O130" s="90" t="n"/>
      <c r="P130" s="90">
        <f>+SUM(H130:O130)</f>
        <v/>
      </c>
      <c r="Q130" s="90">
        <f>+F130+P130</f>
        <v/>
      </c>
      <c r="R130" s="91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89">
        <f>SUBSTITUTE(D131, "*", "-")</f>
        <v/>
      </c>
      <c r="B131" s="90">
        <f>IFERROR(VLOOKUP(D131,#REF!, 8, 0), "")</f>
        <v/>
      </c>
      <c r="C131" s="90" t="n"/>
      <c r="D131" s="89" t="inlineStr">
        <is>
          <t>RS*C40K10NR</t>
        </is>
      </c>
      <c r="E131" s="46" t="n"/>
      <c r="F131" s="90" t="n"/>
      <c r="G131" s="90">
        <f>CEILING(IF((F131+19)&lt;101,3,IF((F131+19)*0.03&lt;10,(F131+19)*0.03,10)),1)</f>
        <v/>
      </c>
      <c r="H131" s="90" t="n"/>
      <c r="I131" s="90">
        <f>CEILING(IF((F131+G131+19)&lt;101,3,IF((F131+G131+19)*0.03&lt;10,(F131+G131+19)*0.03,10)),1)</f>
        <v/>
      </c>
      <c r="J131" s="90" t="n">
        <v>13</v>
      </c>
      <c r="K131" s="90" t="n"/>
      <c r="L131" s="90" t="n"/>
      <c r="M131" s="90" t="n">
        <v>1</v>
      </c>
      <c r="N131" s="90" t="n">
        <v>5</v>
      </c>
      <c r="O131" s="90" t="n"/>
      <c r="P131" s="90">
        <f>+SUM(H131:O131)</f>
        <v/>
      </c>
      <c r="Q131" s="90">
        <f>+F131+P131</f>
        <v/>
      </c>
      <c r="R131" s="91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89">
        <f>SUBSTITUTE(D132, "*", "-")</f>
        <v/>
      </c>
      <c r="B132" s="90">
        <f>IFERROR(VLOOKUP(D132,#REF!, 8, 0), "")</f>
        <v/>
      </c>
      <c r="C132" s="90" t="n"/>
      <c r="D132" s="89" t="inlineStr">
        <is>
          <t>RS*C40K25NR</t>
        </is>
      </c>
      <c r="E132" s="46" t="n"/>
      <c r="F132" s="90" t="n"/>
      <c r="G132" s="90">
        <f>CEILING(IF((F132+19)&lt;101,3,IF((F132+19)*0.03&lt;10,(F132+19)*0.03,10)),1)</f>
        <v/>
      </c>
      <c r="H132" s="90" t="n"/>
      <c r="I132" s="90">
        <f>CEILING(IF((F132+G132+19)&lt;101,3,IF((F132+G132+19)*0.03&lt;10,(F132+G132+19)*0.03,10)),1)</f>
        <v/>
      </c>
      <c r="J132" s="90" t="n">
        <v>13</v>
      </c>
      <c r="K132" s="90" t="n"/>
      <c r="L132" s="90" t="n"/>
      <c r="M132" s="90" t="n">
        <v>1</v>
      </c>
      <c r="N132" s="90" t="n">
        <v>5</v>
      </c>
      <c r="O132" s="90" t="n"/>
      <c r="P132" s="90">
        <f>+SUM(H132:O132)</f>
        <v/>
      </c>
      <c r="Q132" s="90">
        <f>+F132+P132</f>
        <v/>
      </c>
      <c r="R132" s="91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89">
        <f>SUBSTITUTE(D133, "*", "-")</f>
        <v/>
      </c>
      <c r="B133" s="90">
        <f>IFERROR(VLOOKUP(D133,#REF!, 8, 0), "")</f>
        <v/>
      </c>
      <c r="C133" s="90" t="n"/>
      <c r="D133" s="89" t="inlineStr">
        <is>
          <t>RS*C50N10NR</t>
        </is>
      </c>
      <c r="E133" s="46" t="n"/>
      <c r="F133" s="90" t="n"/>
      <c r="G133" s="90">
        <f>CEILING(IF((F133+19)&lt;101,3,IF((F133+19)*0.03&lt;10,(F133+19)*0.03,10)),1)</f>
        <v/>
      </c>
      <c r="H133" s="90" t="n"/>
      <c r="I133" s="90">
        <f>CEILING(IF((F133+G133+19)&lt;101,3,IF((F133+G133+19)*0.03&lt;10,(F133+G133+19)*0.03,10)),1)</f>
        <v/>
      </c>
      <c r="J133" s="90" t="n">
        <v>13</v>
      </c>
      <c r="K133" s="90" t="n"/>
      <c r="L133" s="90" t="n"/>
      <c r="M133" s="90" t="n">
        <v>1</v>
      </c>
      <c r="N133" s="90" t="n">
        <v>5</v>
      </c>
      <c r="O133" s="90" t="n"/>
      <c r="P133" s="90">
        <f>+SUM(H133:O133)</f>
        <v/>
      </c>
      <c r="Q133" s="90">
        <f>+F133+P133</f>
        <v/>
      </c>
      <c r="R133" s="91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89">
        <f>SUBSTITUTE(D134, "*", "-")</f>
        <v/>
      </c>
      <c r="B134" s="90">
        <f>IFERROR(VLOOKUP(D134,#REF!, 8, 0), "")</f>
        <v/>
      </c>
      <c r="C134" s="90" t="n"/>
      <c r="D134" s="89" t="inlineStr">
        <is>
          <t>RS*C60N10NR</t>
        </is>
      </c>
      <c r="E134" s="46" t="n"/>
      <c r="F134" s="90" t="n"/>
      <c r="G134" s="90">
        <f>CEILING(IF((F134+19)&lt;101,3,IF((F134+19)*0.03&lt;10,(F134+19)*0.03,10)),1)</f>
        <v/>
      </c>
      <c r="H134" s="90" t="n"/>
      <c r="I134" s="90">
        <f>CEILING(IF((F134+G134+19)&lt;101,3,IF((F134+G134+19)*0.03&lt;10,(F134+G134+19)*0.03,10)),1)</f>
        <v/>
      </c>
      <c r="J134" s="90" t="n">
        <v>13</v>
      </c>
      <c r="K134" s="90" t="n"/>
      <c r="L134" s="90" t="n"/>
      <c r="M134" s="90" t="n">
        <v>1</v>
      </c>
      <c r="N134" s="90" t="n">
        <v>5</v>
      </c>
      <c r="O134" s="90" t="n"/>
      <c r="P134" s="90">
        <f>+SUM(H134:O134)</f>
        <v/>
      </c>
      <c r="Q134" s="90">
        <f>+F134+P134</f>
        <v/>
      </c>
      <c r="R134" s="91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89">
        <f>SUBSTITUTE(D135, "*", "-")</f>
        <v/>
      </c>
      <c r="B135" s="90">
        <f>IFERROR(VLOOKUP(D135,#REF!, 8, 0), "")</f>
        <v/>
      </c>
      <c r="C135" s="90" t="n"/>
      <c r="D135" s="89" t="inlineStr">
        <is>
          <t>RS*C60N25NR</t>
        </is>
      </c>
      <c r="E135" s="46" t="n"/>
      <c r="F135" s="90" t="n"/>
      <c r="G135" s="90">
        <f>CEILING(IF((F135+19)&lt;101,3,IF((F135+19)*0.03&lt;10,(F135+19)*0.03,10)),1)</f>
        <v/>
      </c>
      <c r="H135" s="90" t="n"/>
      <c r="I135" s="90">
        <f>CEILING(IF((F135+G135+19)&lt;101,3,IF((F135+G135+19)*0.03&lt;10,(F135+G135+19)*0.03,10)),1)</f>
        <v/>
      </c>
      <c r="J135" s="90" t="n">
        <v>13</v>
      </c>
      <c r="K135" s="90" t="n"/>
      <c r="L135" s="90" t="n"/>
      <c r="M135" s="90" t="n">
        <v>1</v>
      </c>
      <c r="N135" s="90" t="n">
        <v>5</v>
      </c>
      <c r="O135" s="90" t="n"/>
      <c r="P135" s="90">
        <f>+SUM(H135:O135)</f>
        <v/>
      </c>
      <c r="Q135" s="90">
        <f>+F135+P135</f>
        <v/>
      </c>
      <c r="R135" s="91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89">
        <f>SUBSTITUTE(D136, "*", "-")</f>
        <v/>
      </c>
      <c r="B136" s="90">
        <f>IFERROR(VLOOKUP(D136,#REF!, 8, 0), "")</f>
        <v/>
      </c>
      <c r="C136" s="90" t="n"/>
      <c r="D136" s="89" t="inlineStr">
        <is>
          <t>RS*C70N10NR</t>
        </is>
      </c>
      <c r="E136" s="46" t="n"/>
      <c r="F136" s="90" t="n"/>
      <c r="G136" s="90">
        <f>CEILING(IF((F136+19)&lt;101,3,IF((F136+19)*0.03&lt;10,(F136+19)*0.03,10)),1)</f>
        <v/>
      </c>
      <c r="H136" s="90" t="n"/>
      <c r="I136" s="90">
        <f>CEILING(IF((F136+G136+19)&lt;101,3,IF((F136+G136+19)*0.03&lt;10,(F136+G136+19)*0.03,10)),1)</f>
        <v/>
      </c>
      <c r="J136" s="90" t="n">
        <v>13</v>
      </c>
      <c r="K136" s="90" t="n"/>
      <c r="L136" s="90" t="n"/>
      <c r="M136" s="90" t="n">
        <v>1</v>
      </c>
      <c r="N136" s="90" t="n">
        <v>5</v>
      </c>
      <c r="O136" s="90" t="n"/>
      <c r="P136" s="90">
        <f>+SUM(H136:O136)</f>
        <v/>
      </c>
      <c r="Q136" s="90">
        <f>+F136+P136</f>
        <v/>
      </c>
      <c r="R136" s="91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89">
        <f>SUBSTITUTE(D137, "*", "-")</f>
        <v/>
      </c>
      <c r="B137" s="90">
        <f>IFERROR(VLOOKUP(D137,#REF!, 8, 0), "")</f>
        <v/>
      </c>
      <c r="C137" s="90" t="n"/>
      <c r="D137" s="89" t="inlineStr">
        <is>
          <t>RS*C70N25NR</t>
        </is>
      </c>
      <c r="E137" s="46" t="n"/>
      <c r="F137" s="90" t="n"/>
      <c r="G137" s="90">
        <f>CEILING(IF((F137+19)&lt;101,3,IF((F137+19)*0.03&lt;10,(F137+19)*0.03,10)),1)</f>
        <v/>
      </c>
      <c r="H137" s="90" t="n"/>
      <c r="I137" s="90">
        <f>CEILING(IF((F137+G137+19)&lt;101,3,IF((F137+G137+19)*0.03&lt;10,(F137+G137+19)*0.03,10)),1)</f>
        <v/>
      </c>
      <c r="J137" s="90" t="n">
        <v>13</v>
      </c>
      <c r="K137" s="90" t="n"/>
      <c r="L137" s="90" t="n"/>
      <c r="M137" s="90" t="n">
        <v>1</v>
      </c>
      <c r="N137" s="90" t="n">
        <v>5</v>
      </c>
      <c r="O137" s="90" t="n"/>
      <c r="P137" s="90">
        <f>+SUM(H137:O137)</f>
        <v/>
      </c>
      <c r="Q137" s="90">
        <f>+F137+P137</f>
        <v/>
      </c>
      <c r="R137" s="91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89">
        <f>SUBSTITUTE(D138, "*", "-")</f>
        <v/>
      </c>
      <c r="B138" s="90">
        <f>IFERROR(VLOOKUP(D138,#REF!, 8, 0), "")</f>
        <v/>
      </c>
      <c r="C138" s="90" t="n"/>
      <c r="D138" s="89" t="inlineStr">
        <is>
          <t>RS*C80N10NR</t>
        </is>
      </c>
      <c r="E138" s="46" t="n"/>
      <c r="F138" s="90" t="n"/>
      <c r="G138" s="90">
        <f>CEILING(IF((F138+19)&lt;101,3,IF((F138+19)*0.03&lt;10,(F138+19)*0.03,10)),1)</f>
        <v/>
      </c>
      <c r="H138" s="90" t="n"/>
      <c r="I138" s="90">
        <f>CEILING(IF((F138+G138+19)&lt;101,3,IF((F138+G138+19)*0.03&lt;10,(F138+G138+19)*0.03,10)),1)</f>
        <v/>
      </c>
      <c r="J138" s="90" t="n">
        <v>13</v>
      </c>
      <c r="K138" s="90" t="n"/>
      <c r="L138" s="90" t="n"/>
      <c r="M138" s="90" t="n">
        <v>1</v>
      </c>
      <c r="N138" s="90" t="n">
        <v>5</v>
      </c>
      <c r="O138" s="90" t="n"/>
      <c r="P138" s="90">
        <f>+SUM(H138:O138)</f>
        <v/>
      </c>
      <c r="Q138" s="90">
        <f>+F138+P138</f>
        <v/>
      </c>
      <c r="R138" s="91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89">
        <f>SUBSTITUTE(D139, "*", "-")</f>
        <v/>
      </c>
      <c r="B139" s="90">
        <f>IFERROR(VLOOKUP(D139,#REF!, 8, 0), "")</f>
        <v/>
      </c>
      <c r="C139" s="90" t="n"/>
      <c r="D139" s="89" t="inlineStr">
        <is>
          <t>RS*C80N25NR</t>
        </is>
      </c>
      <c r="E139" s="46" t="n"/>
      <c r="F139" s="90" t="n"/>
      <c r="G139" s="90">
        <f>CEILING(IF((F139+19)&lt;101,3,IF((F139+19)*0.03&lt;10,(F139+19)*0.03,10)),1)</f>
        <v/>
      </c>
      <c r="H139" s="90" t="n"/>
      <c r="I139" s="90">
        <f>CEILING(IF((F139+G139+19)&lt;101,3,IF((F139+G139+19)*0.03&lt;10,(F139+G139+19)*0.03,10)),1)</f>
        <v/>
      </c>
      <c r="J139" s="90" t="n">
        <v>13</v>
      </c>
      <c r="K139" s="90" t="n"/>
      <c r="L139" s="90" t="n"/>
      <c r="M139" s="90" t="n">
        <v>1</v>
      </c>
      <c r="N139" s="90" t="n">
        <v>5</v>
      </c>
      <c r="O139" s="90" t="n"/>
      <c r="P139" s="90">
        <f>+SUM(H139:O139)</f>
        <v/>
      </c>
      <c r="Q139" s="90">
        <f>+F139+P139</f>
        <v/>
      </c>
      <c r="R139" s="91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89">
        <f>SUBSTITUTE(D140, "*", "-")</f>
        <v/>
      </c>
      <c r="B140" s="90">
        <f>IFERROR(VLOOKUP(D140,#REF!, 8, 0), "")</f>
        <v/>
      </c>
      <c r="C140" s="90" t="n"/>
      <c r="D140" s="89" t="inlineStr">
        <is>
          <t>RS*R40K07MQ</t>
        </is>
      </c>
      <c r="E140" s="46" t="n"/>
      <c r="F140" s="90" t="n"/>
      <c r="G140" s="90">
        <f>CEILING(IF((F140+19)&lt;101,3,IF((F140+19)*0.03&lt;10,(F140+19)*0.03,10)),1)</f>
        <v/>
      </c>
      <c r="H140" s="90" t="n"/>
      <c r="I140" s="90">
        <f>CEILING(IF((F140+G140+19)&lt;101,3,IF((F140+G140+19)*0.03&lt;10,(F140+G140+19)*0.03,10)),1)</f>
        <v/>
      </c>
      <c r="J140" s="90" t="n">
        <v>13</v>
      </c>
      <c r="K140" s="90" t="n"/>
      <c r="L140" s="90" t="n"/>
      <c r="M140" s="90" t="n">
        <v>1</v>
      </c>
      <c r="N140" s="90" t="n">
        <v>5</v>
      </c>
      <c r="O140" s="90" t="n"/>
      <c r="P140" s="90">
        <f>+SUM(H140:O140)</f>
        <v/>
      </c>
      <c r="Q140" s="90">
        <f>+F140+P140</f>
        <v/>
      </c>
      <c r="R140" s="91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89">
        <f>SUBSTITUTE(D141, "*", "-")</f>
        <v/>
      </c>
      <c r="B141" s="90">
        <f>IFERROR(VLOOKUP(D141,#REF!, 8, 0), "")</f>
        <v/>
      </c>
      <c r="C141" s="90" t="n"/>
      <c r="D141" s="89" t="inlineStr">
        <is>
          <t>RS*R40K10MQ</t>
        </is>
      </c>
      <c r="E141" s="46" t="n"/>
      <c r="F141" s="90" t="n"/>
      <c r="G141" s="90">
        <f>CEILING(IF((F141+19)&lt;101,3,IF((F141+19)*0.03&lt;10,(F141+19)*0.03,10)),1)</f>
        <v/>
      </c>
      <c r="H141" s="90" t="n"/>
      <c r="I141" s="90">
        <f>CEILING(IF((F141+G141+19)&lt;101,3,IF((F141+G141+19)*0.03&lt;10,(F141+G141+19)*0.03,10)),1)</f>
        <v/>
      </c>
      <c r="J141" s="90" t="n">
        <v>13</v>
      </c>
      <c r="K141" s="90" t="n"/>
      <c r="L141" s="90" t="n"/>
      <c r="M141" s="90" t="n">
        <v>1</v>
      </c>
      <c r="N141" s="90" t="n">
        <v>5</v>
      </c>
      <c r="O141" s="90" t="n"/>
      <c r="P141" s="90">
        <f>+SUM(H141:O141)</f>
        <v/>
      </c>
      <c r="Q141" s="90">
        <f>+F141+P141</f>
        <v/>
      </c>
      <c r="R141" s="91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89">
        <f>SUBSTITUTE(D142, "*", "-")</f>
        <v/>
      </c>
      <c r="B142" s="90">
        <f>IFERROR(VLOOKUP(D142,#REF!, 8, 0), "")</f>
        <v/>
      </c>
      <c r="C142" s="90" t="n"/>
      <c r="D142" s="89" t="inlineStr">
        <is>
          <t>RS*R50K07MQ</t>
        </is>
      </c>
      <c r="E142" s="46" t="n"/>
      <c r="F142" s="90" t="n"/>
      <c r="G142" s="90">
        <f>CEILING(IF((F142+19)&lt;101,3,IF((F142+19)*0.03&lt;10,(F142+19)*0.03,10)),1)</f>
        <v/>
      </c>
      <c r="H142" s="90" t="n"/>
      <c r="I142" s="90">
        <f>CEILING(IF((F142+G142+19)&lt;101,3,IF((F142+G142+19)*0.03&lt;10,(F142+G142+19)*0.03,10)),1)</f>
        <v/>
      </c>
      <c r="J142" s="90" t="n">
        <v>13</v>
      </c>
      <c r="K142" s="90" t="n"/>
      <c r="L142" s="90" t="n"/>
      <c r="M142" s="90" t="n">
        <v>1</v>
      </c>
      <c r="N142" s="90" t="n">
        <v>5</v>
      </c>
      <c r="O142" s="90" t="n"/>
      <c r="P142" s="90">
        <f>+SUM(H142:O142)</f>
        <v/>
      </c>
      <c r="Q142" s="90">
        <f>+F142+P142</f>
        <v/>
      </c>
      <c r="R142" s="91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89">
        <f>SUBSTITUTE(D143, "*", "-")</f>
        <v/>
      </c>
      <c r="B143" s="90">
        <f>IFERROR(VLOOKUP(D143,#REF!, 8, 0), "")</f>
        <v/>
      </c>
      <c r="C143" s="90" t="n"/>
      <c r="D143" s="89" t="inlineStr">
        <is>
          <t>RS*R50K10MQ</t>
        </is>
      </c>
      <c r="E143" s="46" t="n"/>
      <c r="F143" s="90" t="n"/>
      <c r="G143" s="90">
        <f>CEILING(IF((F143+19)&lt;101,3,IF((F143+19)*0.03&lt;10,(F143+19)*0.03,10)),1)</f>
        <v/>
      </c>
      <c r="H143" s="90" t="n"/>
      <c r="I143" s="90">
        <f>CEILING(IF((F143+G143+19)&lt;101,3,IF((F143+G143+19)*0.03&lt;10,(F143+G143+19)*0.03,10)),1)</f>
        <v/>
      </c>
      <c r="J143" s="90" t="n">
        <v>13</v>
      </c>
      <c r="K143" s="90" t="n"/>
      <c r="L143" s="90" t="n"/>
      <c r="M143" s="90" t="n">
        <v>1</v>
      </c>
      <c r="N143" s="90" t="n">
        <v>5</v>
      </c>
      <c r="O143" s="90" t="n"/>
      <c r="P143" s="90">
        <f>+SUM(H143:O143)</f>
        <v/>
      </c>
      <c r="Q143" s="90">
        <f>+F143+P143</f>
        <v/>
      </c>
      <c r="R143" s="91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89">
        <f>SUBSTITUTE(D144, "*", "-")</f>
        <v/>
      </c>
      <c r="B144" s="90">
        <f>IFERROR(VLOOKUP(D144,#REF!, 8, 0), "")</f>
        <v/>
      </c>
      <c r="C144" s="90" t="n"/>
      <c r="D144" s="89" t="inlineStr">
        <is>
          <t>RS*R50N10MQ</t>
        </is>
      </c>
      <c r="E144" s="46" t="n"/>
      <c r="F144" s="90" t="n"/>
      <c r="G144" s="90">
        <f>CEILING(IF((F144+19)&lt;101,3,IF((F144+19)*0.03&lt;10,(F144+19)*0.03,10)),1)</f>
        <v/>
      </c>
      <c r="H144" s="90" t="n"/>
      <c r="I144" s="90">
        <f>CEILING(IF((F144+G144+19)&lt;101,3,IF((F144+G144+19)*0.03&lt;10,(F144+G144+19)*0.03,10)),1)</f>
        <v/>
      </c>
      <c r="J144" s="90" t="n">
        <v>13</v>
      </c>
      <c r="K144" s="90" t="n"/>
      <c r="L144" s="90" t="n"/>
      <c r="M144" s="90" t="n">
        <v>1</v>
      </c>
      <c r="N144" s="90" t="n">
        <v>5</v>
      </c>
      <c r="O144" s="90" t="n"/>
      <c r="P144" s="90">
        <f>+SUM(H144:O144)</f>
        <v/>
      </c>
      <c r="Q144" s="90">
        <f>+F144+P144</f>
        <v/>
      </c>
      <c r="R144" s="91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89">
        <f>SUBSTITUTE(D145, "*", "-")</f>
        <v/>
      </c>
      <c r="B145" s="90">
        <f>IFERROR(VLOOKUP(D145,#REF!, 8, 0), "")</f>
        <v/>
      </c>
      <c r="C145" s="90" t="n"/>
      <c r="D145" s="89" t="inlineStr">
        <is>
          <t>RS*R60K10MQ</t>
        </is>
      </c>
      <c r="E145" s="46" t="n"/>
      <c r="F145" s="90" t="n"/>
      <c r="G145" s="90">
        <f>CEILING(IF((F145+19)&lt;101,3,IF((F145+19)*0.03&lt;10,(F145+19)*0.03,10)),1)</f>
        <v/>
      </c>
      <c r="H145" s="90" t="n"/>
      <c r="I145" s="90">
        <f>CEILING(IF((F145+G145+19)&lt;101,3,IF((F145+G145+19)*0.03&lt;10,(F145+G145+19)*0.03,10)),1)</f>
        <v/>
      </c>
      <c r="J145" s="90" t="n">
        <v>13</v>
      </c>
      <c r="K145" s="90" t="n"/>
      <c r="L145" s="90" t="n"/>
      <c r="M145" s="90" t="n">
        <v>1</v>
      </c>
      <c r="N145" s="90" t="n">
        <v>5</v>
      </c>
      <c r="O145" s="90" t="n"/>
      <c r="P145" s="90">
        <f>+SUM(H145:O145)</f>
        <v/>
      </c>
      <c r="Q145" s="90">
        <f>+F145+P145</f>
        <v/>
      </c>
      <c r="R145" s="91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89">
        <f>SUBSTITUTE(D146, "*", "-")</f>
        <v/>
      </c>
      <c r="B146" s="90">
        <f>IFERROR(VLOOKUP(D146,#REF!, 8, 0), "")</f>
        <v/>
      </c>
      <c r="C146" s="90" t="n"/>
      <c r="D146" s="89" t="inlineStr">
        <is>
          <t>RS*R60N10MQ</t>
        </is>
      </c>
      <c r="E146" s="46" t="n"/>
      <c r="F146" s="90" t="n"/>
      <c r="G146" s="90">
        <f>CEILING(IF((F146+19)&lt;101,3,IF((F146+19)*0.03&lt;10,(F146+19)*0.03,10)),1)</f>
        <v/>
      </c>
      <c r="H146" s="90" t="n"/>
      <c r="I146" s="90">
        <f>CEILING(IF((F146+G146+19)&lt;101,3,IF((F146+G146+19)*0.03&lt;10,(F146+G146+19)*0.03,10)),1)</f>
        <v/>
      </c>
      <c r="J146" s="90" t="n">
        <v>13</v>
      </c>
      <c r="K146" s="90" t="n"/>
      <c r="L146" s="90" t="n"/>
      <c r="M146" s="90" t="n">
        <v>1</v>
      </c>
      <c r="N146" s="90" t="n">
        <v>5</v>
      </c>
      <c r="O146" s="90" t="n"/>
      <c r="P146" s="90">
        <f>+SUM(H146:O146)</f>
        <v/>
      </c>
      <c r="Q146" s="90">
        <f>+F146+P146</f>
        <v/>
      </c>
      <c r="R146" s="91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89">
        <f>SUBSTITUTE(D147, "*", "-")</f>
        <v/>
      </c>
      <c r="B147" s="90">
        <f>IFERROR(VLOOKUP(D147,#REF!, 8, 0), "")</f>
        <v/>
      </c>
      <c r="C147" s="90" t="n"/>
      <c r="D147" s="89" t="inlineStr">
        <is>
          <t>RS*R60N25MQ</t>
        </is>
      </c>
      <c r="E147" s="46" t="n"/>
      <c r="F147" s="90" t="n"/>
      <c r="G147" s="90">
        <f>CEILING(IF((F147+19)&lt;101,3,IF((F147+19)*0.03&lt;10,(F147+19)*0.03,10)),1)</f>
        <v/>
      </c>
      <c r="H147" s="90" t="n"/>
      <c r="I147" s="90">
        <f>CEILING(IF((F147+G147+19)&lt;101,3,IF((F147+G147+19)*0.03&lt;10,(F147+G147+19)*0.03,10)),1)</f>
        <v/>
      </c>
      <c r="J147" s="90" t="n">
        <v>13</v>
      </c>
      <c r="K147" s="90" t="n"/>
      <c r="L147" s="90" t="n"/>
      <c r="M147" s="90" t="n">
        <v>1</v>
      </c>
      <c r="N147" s="90" t="n">
        <v>5</v>
      </c>
      <c r="O147" s="90" t="n"/>
      <c r="P147" s="90">
        <f>+SUM(H147:O147)</f>
        <v/>
      </c>
      <c r="Q147" s="90">
        <f>+F147+P147</f>
        <v/>
      </c>
      <c r="R147" s="91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89">
        <f>SUBSTITUTE(D148, "*", "-")</f>
        <v/>
      </c>
      <c r="B148" s="90">
        <f>IFERROR(VLOOKUP(D148,#REF!, 8, 0), "")</f>
        <v/>
      </c>
      <c r="C148" s="90" t="n"/>
      <c r="D148" s="89" t="inlineStr">
        <is>
          <t>RS*R70K10MQ</t>
        </is>
      </c>
      <c r="E148" s="46" t="n"/>
      <c r="F148" s="90" t="n"/>
      <c r="G148" s="90">
        <f>CEILING(IF((F148+19)&lt;101,3,IF((F148+19)*0.03&lt;10,(F148+19)*0.03,10)),1)</f>
        <v/>
      </c>
      <c r="H148" s="90" t="n"/>
      <c r="I148" s="90">
        <f>CEILING(IF((F148+G148+19)&lt;101,3,IF((F148+G148+19)*0.03&lt;10,(F148+G148+19)*0.03,10)),1)</f>
        <v/>
      </c>
      <c r="J148" s="90" t="n">
        <v>13</v>
      </c>
      <c r="K148" s="90" t="n"/>
      <c r="L148" s="90" t="n"/>
      <c r="M148" s="90" t="n">
        <v>1</v>
      </c>
      <c r="N148" s="90" t="n">
        <v>5</v>
      </c>
      <c r="O148" s="90" t="n"/>
      <c r="P148" s="90">
        <f>+SUM(H148:O148)</f>
        <v/>
      </c>
      <c r="Q148" s="90">
        <f>+F148+P148</f>
        <v/>
      </c>
      <c r="R148" s="91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89">
        <f>SUBSTITUTE(D149, "*", "-")</f>
        <v/>
      </c>
      <c r="B149" s="90">
        <f>IFERROR(VLOOKUP(D149,#REF!, 8, 0), "")</f>
        <v/>
      </c>
      <c r="C149" s="90" t="n"/>
      <c r="D149" s="89" t="inlineStr">
        <is>
          <t>RS*R70N10MQ</t>
        </is>
      </c>
      <c r="E149" s="46" t="n"/>
      <c r="F149" s="90" t="n"/>
      <c r="G149" s="90">
        <f>CEILING(IF((F149+19)&lt;101,3,IF((F149+19)*0.03&lt;10,(F149+19)*0.03,10)),1)</f>
        <v/>
      </c>
      <c r="H149" s="90" t="n"/>
      <c r="I149" s="90">
        <f>CEILING(IF((F149+G149+19)&lt;101,3,IF((F149+G149+19)*0.03&lt;10,(F149+G149+19)*0.03,10)),1)</f>
        <v/>
      </c>
      <c r="J149" s="90" t="n">
        <v>13</v>
      </c>
      <c r="K149" s="90" t="n"/>
      <c r="L149" s="90" t="n"/>
      <c r="M149" s="90" t="n">
        <v>1</v>
      </c>
      <c r="N149" s="90" t="n">
        <v>5</v>
      </c>
      <c r="O149" s="90" t="n"/>
      <c r="P149" s="90">
        <f>+SUM(H149:O149)</f>
        <v/>
      </c>
      <c r="Q149" s="90">
        <f>+F149+P149</f>
        <v/>
      </c>
      <c r="R149" s="91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89">
        <f>SUBSTITUTE(D150, "*", "-")</f>
        <v/>
      </c>
      <c r="B150" s="90">
        <f>IFERROR(VLOOKUP(D150,#REF!, 8, 0), "")</f>
        <v/>
      </c>
      <c r="C150" s="90" t="n"/>
      <c r="D150" s="89" t="inlineStr">
        <is>
          <t>RS*R70N25MQ</t>
        </is>
      </c>
      <c r="E150" s="46" t="n"/>
      <c r="F150" s="90" t="n"/>
      <c r="G150" s="90">
        <f>CEILING(IF((F150+19)&lt;101,3,IF((F150+19)*0.03&lt;10,(F150+19)*0.03,10)),1)</f>
        <v/>
      </c>
      <c r="H150" s="90" t="n"/>
      <c r="I150" s="90">
        <f>CEILING(IF((F150+G150+19)&lt;101,3,IF((F150+G150+19)*0.03&lt;10,(F150+G150+19)*0.03,10)),1)</f>
        <v/>
      </c>
      <c r="J150" s="90" t="n">
        <v>13</v>
      </c>
      <c r="K150" s="90" t="n"/>
      <c r="L150" s="90" t="n"/>
      <c r="M150" s="90" t="n">
        <v>1</v>
      </c>
      <c r="N150" s="90" t="n">
        <v>5</v>
      </c>
      <c r="O150" s="90" t="n"/>
      <c r="P150" s="90">
        <f>+SUM(H150:O150)</f>
        <v/>
      </c>
      <c r="Q150" s="90">
        <f>+F150+P150</f>
        <v/>
      </c>
      <c r="R150" s="91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89">
        <f>SUBSTITUTE(D151, "*", "-")</f>
        <v/>
      </c>
      <c r="B151" s="90">
        <f>IFERROR(VLOOKUP(D151,#REF!, 8, 0), "")</f>
        <v/>
      </c>
      <c r="C151" s="90" t="n"/>
      <c r="D151" s="89" t="inlineStr">
        <is>
          <t>RS*R80K10MQ</t>
        </is>
      </c>
      <c r="E151" s="46" t="n"/>
      <c r="F151" s="90" t="n"/>
      <c r="G151" s="90">
        <f>CEILING(IF((F151+19)&lt;101,3,IF((F151+19)*0.03&lt;10,(F151+19)*0.03,10)),1)</f>
        <v/>
      </c>
      <c r="H151" s="90" t="n"/>
      <c r="I151" s="90">
        <f>CEILING(IF((F151+G151+19)&lt;101,3,IF((F151+G151+19)*0.03&lt;10,(F151+G151+19)*0.03,10)),1)</f>
        <v/>
      </c>
      <c r="J151" s="90" t="n">
        <v>13</v>
      </c>
      <c r="K151" s="90" t="n"/>
      <c r="L151" s="90" t="n"/>
      <c r="M151" s="90" t="n">
        <v>1</v>
      </c>
      <c r="N151" s="90" t="n">
        <v>5</v>
      </c>
      <c r="O151" s="90" t="n"/>
      <c r="P151" s="90">
        <f>+SUM(H151:O151)</f>
        <v/>
      </c>
      <c r="Q151" s="90">
        <f>+F151+P151</f>
        <v/>
      </c>
      <c r="R151" s="91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89">
        <f>SUBSTITUTE(D152, "*", "-")</f>
        <v/>
      </c>
      <c r="B152" s="90">
        <f>IFERROR(VLOOKUP(D152,#REF!, 8, 0), "")</f>
        <v/>
      </c>
      <c r="C152" s="90" t="n"/>
      <c r="D152" s="89" t="inlineStr">
        <is>
          <t>RS*R80N10MQ</t>
        </is>
      </c>
      <c r="E152" s="46" t="n"/>
      <c r="F152" s="90" t="n"/>
      <c r="G152" s="90">
        <f>CEILING(IF((F152+19)&lt;101,3,IF((F152+19)*0.03&lt;10,(F152+19)*0.03,10)),1)</f>
        <v/>
      </c>
      <c r="H152" s="90" t="n"/>
      <c r="I152" s="90">
        <f>CEILING(IF((F152+G152+19)&lt;101,3,IF((F152+G152+19)*0.03&lt;10,(F152+G152+19)*0.03,10)),1)</f>
        <v/>
      </c>
      <c r="J152" s="90" t="n">
        <v>13</v>
      </c>
      <c r="K152" s="90" t="n"/>
      <c r="L152" s="90" t="n"/>
      <c r="M152" s="90" t="n">
        <v>1</v>
      </c>
      <c r="N152" s="90" t="n">
        <v>5</v>
      </c>
      <c r="O152" s="90" t="n"/>
      <c r="P152" s="90">
        <f>+SUM(H152:O152)</f>
        <v/>
      </c>
      <c r="Q152" s="90">
        <f>+F152+P152</f>
        <v/>
      </c>
      <c r="R152" s="91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89">
        <f>SUBSTITUTE(D153, "*", "-")</f>
        <v/>
      </c>
      <c r="B153" s="90">
        <f>IFERROR(VLOOKUP(D153,#REF!, 8, 0), "")</f>
        <v/>
      </c>
      <c r="C153" s="90" t="n"/>
      <c r="D153" s="89" t="inlineStr">
        <is>
          <t>RS*R80N25MQ</t>
        </is>
      </c>
      <c r="E153" s="46" t="n"/>
      <c r="F153" s="90" t="n"/>
      <c r="G153" s="90">
        <f>CEILING(IF((F153+19)&lt;101,3,IF((F153+19)*0.03&lt;10,(F153+19)*0.03,10)),1)</f>
        <v/>
      </c>
      <c r="H153" s="90" t="n"/>
      <c r="I153" s="90">
        <f>CEILING(IF((F153+G153+19)&lt;101,3,IF((F153+G153+19)*0.03&lt;10,(F153+G153+19)*0.03,10)),1)</f>
        <v/>
      </c>
      <c r="J153" s="90" t="n">
        <v>13</v>
      </c>
      <c r="K153" s="90" t="n"/>
      <c r="L153" s="90" t="n"/>
      <c r="M153" s="90" t="n">
        <v>1</v>
      </c>
      <c r="N153" s="90" t="n">
        <v>5</v>
      </c>
      <c r="O153" s="90" t="n"/>
      <c r="P153" s="90">
        <f>+SUM(H153:O153)</f>
        <v/>
      </c>
      <c r="Q153" s="90">
        <f>+F153+P153</f>
        <v/>
      </c>
      <c r="R153" s="91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89">
        <f>SUBSTITUTE(D154, "*", "-")</f>
        <v/>
      </c>
      <c r="B154" s="90">
        <f>IFERROR(VLOOKUP(D154,#REF!, 8, 0), "")</f>
        <v/>
      </c>
      <c r="C154" s="90" t="n"/>
      <c r="D154" s="89" t="inlineStr">
        <is>
          <t>RS+A40G07SQ</t>
        </is>
      </c>
      <c r="E154" s="46" t="n"/>
      <c r="F154" s="90" t="n"/>
      <c r="G154" s="90">
        <f>CEILING(IF((F154+19)&lt;101,3,IF((F154+19)*0.03&lt;10,(F154+19)*0.03,10)),1)</f>
        <v/>
      </c>
      <c r="H154" s="90" t="n"/>
      <c r="I154" s="90">
        <f>CEILING(IF((F154+G154+19)&lt;101,3,IF((F154+G154+19)*0.03&lt;10,(F154+G154+19)*0.03,10)),1)</f>
        <v/>
      </c>
      <c r="J154" s="90" t="n">
        <v>13</v>
      </c>
      <c r="K154" s="90" t="n"/>
      <c r="L154" s="90" t="n"/>
      <c r="M154" s="90" t="n">
        <v>1</v>
      </c>
      <c r="N154" s="90" t="n">
        <v>5</v>
      </c>
      <c r="O154" s="90" t="n"/>
      <c r="P154" s="90">
        <f>+SUM(H154:O154)</f>
        <v/>
      </c>
      <c r="Q154" s="90">
        <f>+F154+P154</f>
        <v/>
      </c>
      <c r="R154" s="91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89">
        <f>SUBSTITUTE(D155, "*", "-")</f>
        <v/>
      </c>
      <c r="B155" s="90">
        <f>IFERROR(VLOOKUP(D155,#REF!, 8, 0), "")</f>
        <v/>
      </c>
      <c r="C155" s="90" t="n"/>
      <c r="D155" s="89" t="inlineStr">
        <is>
          <t>RS+A40G10SQ</t>
        </is>
      </c>
      <c r="E155" s="46" t="n"/>
      <c r="F155" s="90" t="n"/>
      <c r="G155" s="90">
        <f>CEILING(IF((F155+19)&lt;101,3,IF((F155+19)*0.03&lt;10,(F155+19)*0.03,10)),1)</f>
        <v/>
      </c>
      <c r="H155" s="90" t="n"/>
      <c r="I155" s="90">
        <f>CEILING(IF((F155+G155+19)&lt;101,3,IF((F155+G155+19)*0.03&lt;10,(F155+G155+19)*0.03,10)),1)</f>
        <v/>
      </c>
      <c r="J155" s="90" t="n">
        <v>13</v>
      </c>
      <c r="K155" s="90" t="n"/>
      <c r="L155" s="90" t="n"/>
      <c r="M155" s="90" t="n">
        <v>1</v>
      </c>
      <c r="N155" s="90" t="n">
        <v>5</v>
      </c>
      <c r="O155" s="90" t="n"/>
      <c r="P155" s="90">
        <f>+SUM(H155:O155)</f>
        <v/>
      </c>
      <c r="Q155" s="90">
        <f>+F155+P155</f>
        <v/>
      </c>
      <c r="R155" s="91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89">
        <f>SUBSTITUTE(D156, "*", "-")</f>
        <v/>
      </c>
      <c r="B156" s="90">
        <f>IFERROR(VLOOKUP(D156,#REF!, 8, 0), "")</f>
        <v/>
      </c>
      <c r="C156" s="90" t="n"/>
      <c r="D156" s="89" t="inlineStr">
        <is>
          <t>RS+A40K10AQ</t>
        </is>
      </c>
      <c r="E156" s="46" t="n"/>
      <c r="F156" s="90" t="n"/>
      <c r="G156" s="90">
        <f>CEILING(IF((F156+19)&lt;101,3,IF((F156+19)*0.03&lt;10,(F156+19)*0.03,10)),1)</f>
        <v/>
      </c>
      <c r="H156" s="90" t="n"/>
      <c r="I156" s="90">
        <f>CEILING(IF((F156+G156+19)&lt;101,3,IF((F156+G156+19)*0.03&lt;10,(F156+G156+19)*0.03,10)),1)</f>
        <v/>
      </c>
      <c r="J156" s="90" t="n">
        <v>13</v>
      </c>
      <c r="K156" s="90" t="n"/>
      <c r="L156" s="90" t="n"/>
      <c r="M156" s="90" t="n">
        <v>1</v>
      </c>
      <c r="N156" s="90" t="n">
        <v>5</v>
      </c>
      <c r="O156" s="90" t="n"/>
      <c r="P156" s="90">
        <f>+SUM(H156:O156)</f>
        <v/>
      </c>
      <c r="Q156" s="90">
        <f>+F156+P156</f>
        <v/>
      </c>
      <c r="R156" s="91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89">
        <f>SUBSTITUTE(D157, "*", "-")</f>
        <v/>
      </c>
      <c r="B157" s="90">
        <f>IFERROR(VLOOKUP(D157,#REF!, 8, 0), "")</f>
        <v/>
      </c>
      <c r="C157" s="90" t="n"/>
      <c r="D157" s="89" t="inlineStr">
        <is>
          <t>RS+A50G07SQ</t>
        </is>
      </c>
      <c r="E157" s="46" t="n"/>
      <c r="F157" s="90" t="n"/>
      <c r="G157" s="90">
        <f>CEILING(IF((F157+19)&lt;101,3,IF((F157+19)*0.03&lt;10,(F157+19)*0.03,10)),1)</f>
        <v/>
      </c>
      <c r="H157" s="90" t="n"/>
      <c r="I157" s="90">
        <f>CEILING(IF((F157+G157+19)&lt;101,3,IF((F157+G157+19)*0.03&lt;10,(F157+G157+19)*0.03,10)),1)</f>
        <v/>
      </c>
      <c r="J157" s="90" t="n">
        <v>13</v>
      </c>
      <c r="K157" s="90" t="n"/>
      <c r="L157" s="90" t="n"/>
      <c r="M157" s="90" t="n">
        <v>1</v>
      </c>
      <c r="N157" s="90" t="n">
        <v>5</v>
      </c>
      <c r="O157" s="90" t="n"/>
      <c r="P157" s="90">
        <f>+SUM(H157:O157)</f>
        <v/>
      </c>
      <c r="Q157" s="90">
        <f>+F157+P157</f>
        <v/>
      </c>
      <c r="R157" s="91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89">
        <f>SUBSTITUTE(D158, "*", "-")</f>
        <v/>
      </c>
      <c r="B158" s="90">
        <f>IFERROR(VLOOKUP(D158,#REF!, 8, 0), "")</f>
        <v/>
      </c>
      <c r="C158" s="90" t="n"/>
      <c r="D158" s="89" t="inlineStr">
        <is>
          <t>RS+A50K10AQ</t>
        </is>
      </c>
      <c r="E158" s="46" t="n"/>
      <c r="F158" s="90" t="n"/>
      <c r="G158" s="90">
        <f>CEILING(IF((F158+19)&lt;101,3,IF((F158+19)*0.03&lt;10,(F158+19)*0.03,10)),1)</f>
        <v/>
      </c>
      <c r="H158" s="90" t="n"/>
      <c r="I158" s="90">
        <f>CEILING(IF((F158+G158+19)&lt;101,3,IF((F158+G158+19)*0.03&lt;10,(F158+G158+19)*0.03,10)),1)</f>
        <v/>
      </c>
      <c r="J158" s="90" t="n">
        <v>13</v>
      </c>
      <c r="K158" s="90" t="n"/>
      <c r="L158" s="90" t="n"/>
      <c r="M158" s="90" t="n">
        <v>1</v>
      </c>
      <c r="N158" s="90" t="n">
        <v>5</v>
      </c>
      <c r="O158" s="90" t="n"/>
      <c r="P158" s="90">
        <f>+SUM(H158:O158)</f>
        <v/>
      </c>
      <c r="Q158" s="90">
        <f>+F158+P158</f>
        <v/>
      </c>
      <c r="R158" s="91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89">
        <f>SUBSTITUTE(D159, "*", "-")</f>
        <v/>
      </c>
      <c r="B159" s="90">
        <f>IFERROR(VLOOKUP(D159,#REF!, 8, 0), "")</f>
        <v/>
      </c>
      <c r="C159" s="90" t="n"/>
      <c r="D159" s="89" t="inlineStr">
        <is>
          <t>RS+A50K10SQ</t>
        </is>
      </c>
      <c r="E159" s="46" t="n"/>
      <c r="F159" s="90" t="n"/>
      <c r="G159" s="90">
        <f>CEILING(IF((F159+19)&lt;101,3,IF((F159+19)*0.03&lt;10,(F159+19)*0.03,10)),1)</f>
        <v/>
      </c>
      <c r="H159" s="90" t="n"/>
      <c r="I159" s="90">
        <f>CEILING(IF((F159+G159+19)&lt;101,3,IF((F159+G159+19)*0.03&lt;10,(F159+G159+19)*0.03,10)),1)</f>
        <v/>
      </c>
      <c r="J159" s="90" t="n">
        <v>13</v>
      </c>
      <c r="K159" s="90" t="n"/>
      <c r="L159" s="90" t="n"/>
      <c r="M159" s="90" t="n">
        <v>1</v>
      </c>
      <c r="N159" s="90" t="n">
        <v>5</v>
      </c>
      <c r="O159" s="90" t="n"/>
      <c r="P159" s="90">
        <f>+SUM(H159:O159)</f>
        <v/>
      </c>
      <c r="Q159" s="90">
        <f>+F159+P159</f>
        <v/>
      </c>
      <c r="R159" s="91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89">
        <f>SUBSTITUTE(D160, "*", "-")</f>
        <v/>
      </c>
      <c r="B160" s="90">
        <f>IFERROR(VLOOKUP(D160,#REF!, 8, 0), "")</f>
        <v/>
      </c>
      <c r="C160" s="90" t="n"/>
      <c r="D160" s="89" t="inlineStr">
        <is>
          <t>RS+A60G07SQ</t>
        </is>
      </c>
      <c r="E160" s="46" t="n"/>
      <c r="F160" s="90" t="n"/>
      <c r="G160" s="90">
        <f>CEILING(IF((F160+19)&lt;101,3,IF((F160+19)*0.03&lt;10,(F160+19)*0.03,10)),1)</f>
        <v/>
      </c>
      <c r="H160" s="90" t="n"/>
      <c r="I160" s="90">
        <f>CEILING(IF((F160+G160+19)&lt;101,3,IF((F160+G160+19)*0.03&lt;10,(F160+G160+19)*0.03,10)),1)</f>
        <v/>
      </c>
      <c r="J160" s="90" t="n">
        <v>13</v>
      </c>
      <c r="K160" s="90" t="n"/>
      <c r="L160" s="90" t="n"/>
      <c r="M160" s="90" t="n">
        <v>1</v>
      </c>
      <c r="N160" s="90" t="n">
        <v>5</v>
      </c>
      <c r="O160" s="90" t="n"/>
      <c r="P160" s="90">
        <f>+SUM(H160:O160)</f>
        <v/>
      </c>
      <c r="Q160" s="90">
        <f>+F160+P160</f>
        <v/>
      </c>
      <c r="R160" s="91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89">
        <f>SUBSTITUTE(D161, "*", "-")</f>
        <v/>
      </c>
      <c r="B161" s="90">
        <f>IFERROR(VLOOKUP(D161,#REF!, 8, 0), "")</f>
        <v/>
      </c>
      <c r="C161" s="90" t="n"/>
      <c r="D161" s="89" t="inlineStr">
        <is>
          <t>RS+A60K10AQ</t>
        </is>
      </c>
      <c r="E161" s="46" t="n"/>
      <c r="F161" s="90" t="n"/>
      <c r="G161" s="90">
        <f>CEILING(IF((F161+19)&lt;101,3,IF((F161+19)*0.03&lt;10,(F161+19)*0.03,10)),1)</f>
        <v/>
      </c>
      <c r="H161" s="90" t="n"/>
      <c r="I161" s="90">
        <f>CEILING(IF((F161+G161+19)&lt;101,3,IF((F161+G161+19)*0.03&lt;10,(F161+G161+19)*0.03,10)),1)</f>
        <v/>
      </c>
      <c r="J161" s="90" t="n">
        <v>13</v>
      </c>
      <c r="K161" s="90" t="n"/>
      <c r="L161" s="90" t="n"/>
      <c r="M161" s="90" t="n">
        <v>1</v>
      </c>
      <c r="N161" s="90" t="n">
        <v>5</v>
      </c>
      <c r="O161" s="90" t="n"/>
      <c r="P161" s="90">
        <f>+SUM(H161:O161)</f>
        <v/>
      </c>
      <c r="Q161" s="90">
        <f>+F161+P161</f>
        <v/>
      </c>
      <c r="R161" s="91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89">
        <f>SUBSTITUTE(D162, "*", "-")</f>
        <v/>
      </c>
      <c r="B162" s="90">
        <f>IFERROR(VLOOKUP(D162,#REF!, 8, 0), "")</f>
        <v/>
      </c>
      <c r="C162" s="90" t="n"/>
      <c r="D162" s="89" t="inlineStr">
        <is>
          <t>RS+A60K10SQ</t>
        </is>
      </c>
      <c r="E162" s="46" t="n"/>
      <c r="F162" s="90" t="n"/>
      <c r="G162" s="90">
        <f>CEILING(IF((F162+19)&lt;101,3,IF((F162+19)*0.03&lt;10,(F162+19)*0.03,10)),1)</f>
        <v/>
      </c>
      <c r="H162" s="90" t="n"/>
      <c r="I162" s="90">
        <f>CEILING(IF((F162+G162+19)&lt;101,3,IF((F162+G162+19)*0.03&lt;10,(F162+G162+19)*0.03,10)),1)</f>
        <v/>
      </c>
      <c r="J162" s="90" t="n">
        <v>13</v>
      </c>
      <c r="K162" s="90" t="n"/>
      <c r="L162" s="90" t="n"/>
      <c r="M162" s="90" t="n">
        <v>1</v>
      </c>
      <c r="N162" s="90" t="n">
        <v>5</v>
      </c>
      <c r="O162" s="90" t="n"/>
      <c r="P162" s="90">
        <f>+SUM(H162:O162)</f>
        <v/>
      </c>
      <c r="Q162" s="90">
        <f>+F162+P162</f>
        <v/>
      </c>
      <c r="R162" s="91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89">
        <f>SUBSTITUTE(D163, "*", "-")</f>
        <v/>
      </c>
      <c r="B163" s="90">
        <f>IFERROR(VLOOKUP(D163,#REF!, 8, 0), "")</f>
        <v/>
      </c>
      <c r="C163" s="90" t="n"/>
      <c r="D163" s="89" t="inlineStr">
        <is>
          <t>RS+A70K10SQ</t>
        </is>
      </c>
      <c r="E163" s="46" t="n"/>
      <c r="F163" s="90" t="n"/>
      <c r="G163" s="90">
        <f>CEILING(IF((F163+19)&lt;101,3,IF((F163+19)*0.03&lt;10,(F163+19)*0.03,10)),1)</f>
        <v/>
      </c>
      <c r="H163" s="90" t="n"/>
      <c r="I163" s="90">
        <f>CEILING(IF((F163+G163+19)&lt;101,3,IF((F163+G163+19)*0.03&lt;10,(F163+G163+19)*0.03,10)),1)</f>
        <v/>
      </c>
      <c r="J163" s="90" t="n">
        <v>13</v>
      </c>
      <c r="K163" s="90" t="n"/>
      <c r="L163" s="90" t="n"/>
      <c r="M163" s="90" t="n">
        <v>1</v>
      </c>
      <c r="N163" s="90" t="n">
        <v>5</v>
      </c>
      <c r="O163" s="90" t="n"/>
      <c r="P163" s="90">
        <f>+SUM(H163:O163)</f>
        <v/>
      </c>
      <c r="Q163" s="90">
        <f>+F163+P163</f>
        <v/>
      </c>
      <c r="R163" s="91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89">
        <f>SUBSTITUTE(D164, "*", "-")</f>
        <v/>
      </c>
      <c r="B164" s="90">
        <f>IFERROR(VLOOKUP(D164,#REF!, 8, 0), "")</f>
        <v/>
      </c>
      <c r="C164" s="90" t="n"/>
      <c r="D164" s="89" t="inlineStr">
        <is>
          <t>RS+A80K10SQ</t>
        </is>
      </c>
      <c r="E164" s="46" t="n"/>
      <c r="F164" s="90" t="n"/>
      <c r="G164" s="90">
        <f>CEILING(IF((F164+19)&lt;101,3,IF((F164+19)*0.03&lt;10,(F164+19)*0.03,10)),1)</f>
        <v/>
      </c>
      <c r="H164" s="90" t="n"/>
      <c r="I164" s="90">
        <f>CEILING(IF((F164+G164+19)&lt;101,3,IF((F164+G164+19)*0.03&lt;10,(F164+G164+19)*0.03,10)),1)</f>
        <v/>
      </c>
      <c r="J164" s="90" t="n">
        <v>13</v>
      </c>
      <c r="K164" s="90" t="n"/>
      <c r="L164" s="90" t="n"/>
      <c r="M164" s="90" t="n">
        <v>1</v>
      </c>
      <c r="N164" s="90" t="n">
        <v>5</v>
      </c>
      <c r="O164" s="90" t="n"/>
      <c r="P164" s="90">
        <f>+SUM(H164:O164)</f>
        <v/>
      </c>
      <c r="Q164" s="90">
        <f>+F164+P164</f>
        <v/>
      </c>
      <c r="R164" s="91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89">
        <f>SUBSTITUTE(D165, "*", "-")</f>
        <v/>
      </c>
      <c r="B165" s="90">
        <f>IFERROR(VLOOKUP(D165,#REF!, 8, 0), "")</f>
        <v/>
      </c>
      <c r="C165" s="90" t="n"/>
      <c r="D165" s="89" t="inlineStr">
        <is>
          <t>RS+B40G07SQ</t>
        </is>
      </c>
      <c r="E165" s="46" t="n"/>
      <c r="F165" s="90" t="n"/>
      <c r="G165" s="90">
        <f>CEILING(IF((F165+19)&lt;101,3,IF((F165+19)*0.03&lt;10,(F165+19)*0.03,10)),1)</f>
        <v/>
      </c>
      <c r="H165" s="90" t="n"/>
      <c r="I165" s="90">
        <f>CEILING(IF((F165+G165+19)&lt;101,3,IF((F165+G165+19)*0.03&lt;10,(F165+G165+19)*0.03,10)),1)</f>
        <v/>
      </c>
      <c r="J165" s="90" t="n">
        <v>13</v>
      </c>
      <c r="K165" s="90" t="n"/>
      <c r="L165" s="90" t="n"/>
      <c r="M165" s="90" t="n">
        <v>1</v>
      </c>
      <c r="N165" s="90" t="n">
        <v>5</v>
      </c>
      <c r="O165" s="90" t="n"/>
      <c r="P165" s="90">
        <f>+SUM(H165:O165)</f>
        <v/>
      </c>
      <c r="Q165" s="90">
        <f>+F165+P165</f>
        <v/>
      </c>
      <c r="R165" s="91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89">
        <f>SUBSTITUTE(D166, "*", "-")</f>
        <v/>
      </c>
      <c r="B166" s="90">
        <f>IFERROR(VLOOKUP(D166,#REF!, 8, 0), "")</f>
        <v/>
      </c>
      <c r="C166" s="90" t="n"/>
      <c r="D166" s="89" t="inlineStr">
        <is>
          <t>RS+B40G10SQ</t>
        </is>
      </c>
      <c r="E166" s="46" t="n"/>
      <c r="F166" s="90" t="n"/>
      <c r="G166" s="90">
        <f>CEILING(IF((F166+19)&lt;101,3,IF((F166+19)*0.03&lt;10,(F166+19)*0.03,10)),1)</f>
        <v/>
      </c>
      <c r="H166" s="90" t="n"/>
      <c r="I166" s="90">
        <f>CEILING(IF((F166+G166+19)&lt;101,3,IF((F166+G166+19)*0.03&lt;10,(F166+G166+19)*0.03,10)),1)</f>
        <v/>
      </c>
      <c r="J166" s="90" t="n">
        <v>13</v>
      </c>
      <c r="K166" s="90" t="n"/>
      <c r="L166" s="90" t="n"/>
      <c r="M166" s="90" t="n">
        <v>1</v>
      </c>
      <c r="N166" s="90" t="n">
        <v>5</v>
      </c>
      <c r="O166" s="90" t="n"/>
      <c r="P166" s="90">
        <f>+SUM(H166:O166)</f>
        <v/>
      </c>
      <c r="Q166" s="90">
        <f>+F166+P166</f>
        <v/>
      </c>
      <c r="R166" s="91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89">
        <f>SUBSTITUTE(D167, "*", "-")</f>
        <v/>
      </c>
      <c r="B167" s="90">
        <f>IFERROR(VLOOKUP(D167,#REF!, 8, 0), "")</f>
        <v/>
      </c>
      <c r="C167" s="90" t="n"/>
      <c r="D167" s="89" t="inlineStr">
        <is>
          <t>RS+B40K10AQ</t>
        </is>
      </c>
      <c r="E167" s="46" t="n"/>
      <c r="F167" s="90" t="n"/>
      <c r="G167" s="90">
        <f>CEILING(IF((F167+19)&lt;101,3,IF((F167+19)*0.03&lt;10,(F167+19)*0.03,10)),1)</f>
        <v/>
      </c>
      <c r="H167" s="90" t="n"/>
      <c r="I167" s="90">
        <f>CEILING(IF((F167+G167+19)&lt;101,3,IF((F167+G167+19)*0.03&lt;10,(F167+G167+19)*0.03,10)),1)</f>
        <v/>
      </c>
      <c r="J167" s="90" t="n">
        <v>13</v>
      </c>
      <c r="K167" s="90" t="n"/>
      <c r="L167" s="90" t="n"/>
      <c r="M167" s="90" t="n">
        <v>1</v>
      </c>
      <c r="N167" s="90" t="n">
        <v>5</v>
      </c>
      <c r="O167" s="90" t="n"/>
      <c r="P167" s="90">
        <f>+SUM(H167:O167)</f>
        <v/>
      </c>
      <c r="Q167" s="90">
        <f>+F167+P167</f>
        <v/>
      </c>
      <c r="R167" s="91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89">
        <f>SUBSTITUTE(D168, "*", "-")</f>
        <v/>
      </c>
      <c r="B168" s="90">
        <f>IFERROR(VLOOKUP(D168,#REF!, 8, 0), "")</f>
        <v/>
      </c>
      <c r="C168" s="90" t="n"/>
      <c r="D168" s="89" t="inlineStr">
        <is>
          <t>RS+B40K10MQ</t>
        </is>
      </c>
      <c r="E168" s="46" t="n"/>
      <c r="F168" s="90" t="n"/>
      <c r="G168" s="90">
        <f>CEILING(IF((F168+19)&lt;101,3,IF((F168+19)*0.03&lt;10,(F168+19)*0.03,10)),1)</f>
        <v/>
      </c>
      <c r="H168" s="90" t="n"/>
      <c r="I168" s="90">
        <f>CEILING(IF((F168+G168+19)&lt;101,3,IF((F168+G168+19)*0.03&lt;10,(F168+G168+19)*0.03,10)),1)</f>
        <v/>
      </c>
      <c r="J168" s="90" t="n">
        <v>13</v>
      </c>
      <c r="K168" s="90" t="n"/>
      <c r="L168" s="90" t="n"/>
      <c r="M168" s="90" t="n">
        <v>1</v>
      </c>
      <c r="N168" s="90" t="n">
        <v>5</v>
      </c>
      <c r="O168" s="90" t="n"/>
      <c r="P168" s="90">
        <f>+SUM(H168:O168)</f>
        <v/>
      </c>
      <c r="Q168" s="90">
        <f>+F168+P168</f>
        <v/>
      </c>
      <c r="R168" s="91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89">
        <f>SUBSTITUTE(D169, "*", "-")</f>
        <v/>
      </c>
      <c r="B169" s="90">
        <f>IFERROR(VLOOKUP(D169,#REF!, 8, 0), "")</f>
        <v/>
      </c>
      <c r="C169" s="90" t="n"/>
      <c r="D169" s="89" t="inlineStr">
        <is>
          <t>RS+B40K10SQ</t>
        </is>
      </c>
      <c r="E169" s="46" t="n"/>
      <c r="F169" s="90" t="n"/>
      <c r="G169" s="90">
        <f>CEILING(IF((F169+19)&lt;101,3,IF((F169+19)*0.03&lt;10,(F169+19)*0.03,10)),1)</f>
        <v/>
      </c>
      <c r="H169" s="90" t="n"/>
      <c r="I169" s="90">
        <f>CEILING(IF((F169+G169+19)&lt;101,3,IF((F169+G169+19)*0.03&lt;10,(F169+G169+19)*0.03,10)),1)</f>
        <v/>
      </c>
      <c r="J169" s="90" t="n">
        <v>13</v>
      </c>
      <c r="K169" s="90" t="n"/>
      <c r="L169" s="90" t="n"/>
      <c r="M169" s="90" t="n">
        <v>1</v>
      </c>
      <c r="N169" s="90" t="n">
        <v>5</v>
      </c>
      <c r="O169" s="90" t="n"/>
      <c r="P169" s="90">
        <f>+SUM(H169:O169)</f>
        <v/>
      </c>
      <c r="Q169" s="90">
        <f>+F169+P169</f>
        <v/>
      </c>
      <c r="R169" s="91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89">
        <f>SUBSTITUTE(D170, "*", "-")</f>
        <v/>
      </c>
      <c r="B170" s="90">
        <f>IFERROR(VLOOKUP(D170,#REF!, 8, 0), "")</f>
        <v/>
      </c>
      <c r="C170" s="90" t="n"/>
      <c r="D170" s="89" t="inlineStr">
        <is>
          <t>RS+B40K25AQ</t>
        </is>
      </c>
      <c r="E170" s="46" t="n"/>
      <c r="F170" s="90" t="n"/>
      <c r="G170" s="90">
        <f>CEILING(IF((F170+19)&lt;101,3,IF((F170+19)*0.03&lt;10,(F170+19)*0.03,10)),1)</f>
        <v/>
      </c>
      <c r="H170" s="90" t="n"/>
      <c r="I170" s="90">
        <f>CEILING(IF((F170+G170+19)&lt;101,3,IF((F170+G170+19)*0.03&lt;10,(F170+G170+19)*0.03,10)),1)</f>
        <v/>
      </c>
      <c r="J170" s="90" t="n">
        <v>13</v>
      </c>
      <c r="K170" s="90" t="n"/>
      <c r="L170" s="90" t="n"/>
      <c r="M170" s="90" t="n">
        <v>1</v>
      </c>
      <c r="N170" s="90" t="n">
        <v>5</v>
      </c>
      <c r="O170" s="90" t="n"/>
      <c r="P170" s="90">
        <f>+SUM(H170:O170)</f>
        <v/>
      </c>
      <c r="Q170" s="90">
        <f>+F170+P170</f>
        <v/>
      </c>
      <c r="R170" s="91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89">
        <f>SUBSTITUTE(D171, "*", "-")</f>
        <v/>
      </c>
      <c r="B171" s="90">
        <f>IFERROR(VLOOKUP(D171,#REF!, 8, 0), "")</f>
        <v/>
      </c>
      <c r="C171" s="90" t="n"/>
      <c r="D171" s="89" t="inlineStr">
        <is>
          <t>RS+B50G07SQ</t>
        </is>
      </c>
      <c r="E171" s="46" t="n"/>
      <c r="F171" s="90" t="n"/>
      <c r="G171" s="90">
        <f>CEILING(IF((F171+19)&lt;101,3,IF((F171+19)*0.03&lt;10,(F171+19)*0.03,10)),1)</f>
        <v/>
      </c>
      <c r="H171" s="90" t="n"/>
      <c r="I171" s="90">
        <f>CEILING(IF((F171+G171+19)&lt;101,3,IF((F171+G171+19)*0.03&lt;10,(F171+G171+19)*0.03,10)),1)</f>
        <v/>
      </c>
      <c r="J171" s="90" t="n">
        <v>13</v>
      </c>
      <c r="K171" s="90" t="n"/>
      <c r="L171" s="90" t="n"/>
      <c r="M171" s="90" t="n">
        <v>1</v>
      </c>
      <c r="N171" s="90" t="n">
        <v>5</v>
      </c>
      <c r="O171" s="90" t="n"/>
      <c r="P171" s="90">
        <f>+SUM(H171:O171)</f>
        <v/>
      </c>
      <c r="Q171" s="90">
        <f>+F171+P171</f>
        <v/>
      </c>
      <c r="R171" s="91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89">
        <f>SUBSTITUTE(D172, "*", "-")</f>
        <v/>
      </c>
      <c r="B172" s="90">
        <f>IFERROR(VLOOKUP(D172,#REF!, 8, 0), "")</f>
        <v/>
      </c>
      <c r="C172" s="90" t="n"/>
      <c r="D172" s="89" t="inlineStr">
        <is>
          <t>RS+B50K10MQ</t>
        </is>
      </c>
      <c r="E172" s="46" t="n"/>
      <c r="F172" s="90" t="n"/>
      <c r="G172" s="90">
        <f>CEILING(IF((F172+19)&lt;101,3,IF((F172+19)*0.03&lt;10,(F172+19)*0.03,10)),1)</f>
        <v/>
      </c>
      <c r="H172" s="90" t="n"/>
      <c r="I172" s="90">
        <f>CEILING(IF((F172+G172+19)&lt;101,3,IF((F172+G172+19)*0.03&lt;10,(F172+G172+19)*0.03,10)),1)</f>
        <v/>
      </c>
      <c r="J172" s="90" t="n">
        <v>13</v>
      </c>
      <c r="K172" s="90" t="n"/>
      <c r="L172" s="90" t="n"/>
      <c r="M172" s="90" t="n">
        <v>1</v>
      </c>
      <c r="N172" s="90" t="n">
        <v>5</v>
      </c>
      <c r="O172" s="90" t="n"/>
      <c r="P172" s="90">
        <f>+SUM(H172:O172)</f>
        <v/>
      </c>
      <c r="Q172" s="90">
        <f>+F172+P172</f>
        <v/>
      </c>
      <c r="R172" s="91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89">
        <f>SUBSTITUTE(D173, "*", "-")</f>
        <v/>
      </c>
      <c r="B173" s="90">
        <f>IFERROR(VLOOKUP(D173,#REF!, 8, 0), "")</f>
        <v/>
      </c>
      <c r="C173" s="90" t="n"/>
      <c r="D173" s="89" t="inlineStr">
        <is>
          <t>RS+B50N10AQ</t>
        </is>
      </c>
      <c r="E173" s="46" t="n"/>
      <c r="F173" s="90" t="n"/>
      <c r="G173" s="90">
        <f>CEILING(IF((F173+19)&lt;101,3,IF((F173+19)*0.03&lt;10,(F173+19)*0.03,10)),1)</f>
        <v/>
      </c>
      <c r="H173" s="90" t="n"/>
      <c r="I173" s="90">
        <f>CEILING(IF((F173+G173+19)&lt;101,3,IF((F173+G173+19)*0.03&lt;10,(F173+G173+19)*0.03,10)),1)</f>
        <v/>
      </c>
      <c r="J173" s="90" t="n">
        <v>13</v>
      </c>
      <c r="K173" s="90" t="n"/>
      <c r="L173" s="90" t="n"/>
      <c r="M173" s="90" t="n">
        <v>1</v>
      </c>
      <c r="N173" s="90" t="n">
        <v>5</v>
      </c>
      <c r="O173" s="90" t="n"/>
      <c r="P173" s="90">
        <f>+SUM(H173:O173)</f>
        <v/>
      </c>
      <c r="Q173" s="90">
        <f>+F173+P173</f>
        <v/>
      </c>
      <c r="R173" s="91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89">
        <f>SUBSTITUTE(D174, "*", "-")</f>
        <v/>
      </c>
      <c r="B174" s="90">
        <f>IFERROR(VLOOKUP(D174,#REF!, 8, 0), "")</f>
        <v/>
      </c>
      <c r="C174" s="90" t="n"/>
      <c r="D174" s="89" t="inlineStr">
        <is>
          <t>RS+B50N10MQ</t>
        </is>
      </c>
      <c r="E174" s="46" t="n"/>
      <c r="F174" s="90" t="n"/>
      <c r="G174" s="90">
        <f>CEILING(IF((F174+19)&lt;101,3,IF((F174+19)*0.03&lt;10,(F174+19)*0.03,10)),1)</f>
        <v/>
      </c>
      <c r="H174" s="90" t="n"/>
      <c r="I174" s="90">
        <f>CEILING(IF((F174+G174+19)&lt;101,3,IF((F174+G174+19)*0.03&lt;10,(F174+G174+19)*0.03,10)),1)</f>
        <v/>
      </c>
      <c r="J174" s="90" t="n">
        <v>13</v>
      </c>
      <c r="K174" s="90" t="n"/>
      <c r="L174" s="90" t="n"/>
      <c r="M174" s="90" t="n">
        <v>1</v>
      </c>
      <c r="N174" s="90" t="n">
        <v>5</v>
      </c>
      <c r="O174" s="90" t="n"/>
      <c r="P174" s="90">
        <f>+SUM(H174:O174)</f>
        <v/>
      </c>
      <c r="Q174" s="90">
        <f>+F174+P174</f>
        <v/>
      </c>
      <c r="R174" s="91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89">
        <f>SUBSTITUTE(D175, "*", "-")</f>
        <v/>
      </c>
      <c r="B175" s="90">
        <f>IFERROR(VLOOKUP(D175,#REF!, 8, 0), "")</f>
        <v/>
      </c>
      <c r="C175" s="90" t="n"/>
      <c r="D175" s="89" t="inlineStr">
        <is>
          <t>RS+B50N10SQ</t>
        </is>
      </c>
      <c r="E175" s="46" t="n"/>
      <c r="F175" s="90" t="n"/>
      <c r="G175" s="90">
        <f>CEILING(IF((F175+19)&lt;101,3,IF((F175+19)*0.03&lt;10,(F175+19)*0.03,10)),1)</f>
        <v/>
      </c>
      <c r="H175" s="90" t="n"/>
      <c r="I175" s="90">
        <f>CEILING(IF((F175+G175+19)&lt;101,3,IF((F175+G175+19)*0.03&lt;10,(F175+G175+19)*0.03,10)),1)</f>
        <v/>
      </c>
      <c r="J175" s="90" t="n">
        <v>13</v>
      </c>
      <c r="K175" s="90" t="n"/>
      <c r="L175" s="90" t="n"/>
      <c r="M175" s="90" t="n">
        <v>1</v>
      </c>
      <c r="N175" s="90" t="n">
        <v>5</v>
      </c>
      <c r="O175" s="90" t="n"/>
      <c r="P175" s="90">
        <f>+SUM(H175:O175)</f>
        <v/>
      </c>
      <c r="Q175" s="90">
        <f>+F175+P175</f>
        <v/>
      </c>
      <c r="R175" s="91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89">
        <f>SUBSTITUTE(D176, "*", "-")</f>
        <v/>
      </c>
      <c r="B176" s="90">
        <f>IFERROR(VLOOKUP(D176,#REF!, 8, 0), "")</f>
        <v/>
      </c>
      <c r="C176" s="90" t="n"/>
      <c r="D176" s="89" t="inlineStr">
        <is>
          <t>RS+B50N25AQ</t>
        </is>
      </c>
      <c r="E176" s="46" t="n"/>
      <c r="F176" s="90" t="n"/>
      <c r="G176" s="90">
        <f>CEILING(IF((F176+19)&lt;101,3,IF((F176+19)*0.03&lt;10,(F176+19)*0.03,10)),1)</f>
        <v/>
      </c>
      <c r="H176" s="90" t="n"/>
      <c r="I176" s="90">
        <f>CEILING(IF((F176+G176+19)&lt;101,3,IF((F176+G176+19)*0.03&lt;10,(F176+G176+19)*0.03,10)),1)</f>
        <v/>
      </c>
      <c r="J176" s="90" t="n">
        <v>13</v>
      </c>
      <c r="K176" s="90" t="n"/>
      <c r="L176" s="90" t="n"/>
      <c r="M176" s="90" t="n">
        <v>1</v>
      </c>
      <c r="N176" s="90" t="n">
        <v>5</v>
      </c>
      <c r="O176" s="90" t="n"/>
      <c r="P176" s="90">
        <f>+SUM(H176:O176)</f>
        <v/>
      </c>
      <c r="Q176" s="90">
        <f>+F176+P176</f>
        <v/>
      </c>
      <c r="R176" s="91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89">
        <f>SUBSTITUTE(D177, "*", "-")</f>
        <v/>
      </c>
      <c r="B177" s="90">
        <f>IFERROR(VLOOKUP(D177,#REF!, 8, 0), "")</f>
        <v/>
      </c>
      <c r="C177" s="90" t="n"/>
      <c r="D177" s="89" t="inlineStr">
        <is>
          <t>RS+B60G07SQ</t>
        </is>
      </c>
      <c r="E177" s="46" t="n"/>
      <c r="F177" s="90" t="n"/>
      <c r="G177" s="90">
        <f>CEILING(IF((F177+19)&lt;101,3,IF((F177+19)*0.03&lt;10,(F177+19)*0.03,10)),1)</f>
        <v/>
      </c>
      <c r="H177" s="90" t="n"/>
      <c r="I177" s="90">
        <f>CEILING(IF((F177+G177+19)&lt;101,3,IF((F177+G177+19)*0.03&lt;10,(F177+G177+19)*0.03,10)),1)</f>
        <v/>
      </c>
      <c r="J177" s="90" t="n">
        <v>13</v>
      </c>
      <c r="K177" s="90" t="n"/>
      <c r="L177" s="90" t="n"/>
      <c r="M177" s="90" t="n">
        <v>1</v>
      </c>
      <c r="N177" s="90" t="n">
        <v>5</v>
      </c>
      <c r="O177" s="90" t="n"/>
      <c r="P177" s="90">
        <f>+SUM(H177:O177)</f>
        <v/>
      </c>
      <c r="Q177" s="90">
        <f>+F177+P177</f>
        <v/>
      </c>
      <c r="R177" s="91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89">
        <f>SUBSTITUTE(D178, "*", "-")</f>
        <v/>
      </c>
      <c r="B178" s="90">
        <f>IFERROR(VLOOKUP(D178,#REF!, 8, 0), "")</f>
        <v/>
      </c>
      <c r="C178" s="90" t="n"/>
      <c r="D178" s="89" t="inlineStr">
        <is>
          <t>RS+B60K10MQ</t>
        </is>
      </c>
      <c r="E178" s="46" t="n"/>
      <c r="F178" s="90" t="n"/>
      <c r="G178" s="90">
        <f>CEILING(IF((F178+19)&lt;101,3,IF((F178+19)*0.03&lt;10,(F178+19)*0.03,10)),1)</f>
        <v/>
      </c>
      <c r="H178" s="90" t="n"/>
      <c r="I178" s="90">
        <f>CEILING(IF((F178+G178+19)&lt;101,3,IF((F178+G178+19)*0.03&lt;10,(F178+G178+19)*0.03,10)),1)</f>
        <v/>
      </c>
      <c r="J178" s="90" t="n">
        <v>13</v>
      </c>
      <c r="K178" s="90" t="n"/>
      <c r="L178" s="90" t="n"/>
      <c r="M178" s="90" t="n">
        <v>1</v>
      </c>
      <c r="N178" s="90" t="n">
        <v>5</v>
      </c>
      <c r="O178" s="90" t="n"/>
      <c r="P178" s="90">
        <f>+SUM(H178:O178)</f>
        <v/>
      </c>
      <c r="Q178" s="90">
        <f>+F178+P178</f>
        <v/>
      </c>
      <c r="R178" s="91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89">
        <f>SUBSTITUTE(D179, "*", "-")</f>
        <v/>
      </c>
      <c r="B179" s="90">
        <f>IFERROR(VLOOKUP(D179,#REF!, 8, 0), "")</f>
        <v/>
      </c>
      <c r="C179" s="90" t="n"/>
      <c r="D179" s="89" t="inlineStr">
        <is>
          <t>RS+B60N10MQ</t>
        </is>
      </c>
      <c r="E179" s="46" t="n"/>
      <c r="F179" s="90" t="n"/>
      <c r="G179" s="90">
        <f>CEILING(IF((F179+19)&lt;101,3,IF((F179+19)*0.03&lt;10,(F179+19)*0.03,10)),1)</f>
        <v/>
      </c>
      <c r="H179" s="90" t="n"/>
      <c r="I179" s="90">
        <f>CEILING(IF((F179+G179+19)&lt;101,3,IF((F179+G179+19)*0.03&lt;10,(F179+G179+19)*0.03,10)),1)</f>
        <v/>
      </c>
      <c r="J179" s="90" t="n">
        <v>13</v>
      </c>
      <c r="K179" s="90" t="n"/>
      <c r="L179" s="90" t="n"/>
      <c r="M179" s="90" t="n">
        <v>1</v>
      </c>
      <c r="N179" s="90" t="n">
        <v>5</v>
      </c>
      <c r="O179" s="90" t="n"/>
      <c r="P179" s="90">
        <f>+SUM(H179:O179)</f>
        <v/>
      </c>
      <c r="Q179" s="90">
        <f>+F179+P179</f>
        <v/>
      </c>
      <c r="R179" s="91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89">
        <f>SUBSTITUTE(D180, "*", "-")</f>
        <v/>
      </c>
      <c r="B180" s="90">
        <f>IFERROR(VLOOKUP(D180,#REF!, 8, 0), "")</f>
        <v/>
      </c>
      <c r="C180" s="90" t="n"/>
      <c r="D180" s="89" t="inlineStr">
        <is>
          <t>RS+B60N10SQ</t>
        </is>
      </c>
      <c r="E180" s="46" t="n"/>
      <c r="F180" s="90" t="n"/>
      <c r="G180" s="90">
        <f>CEILING(IF((F180+19)&lt;101,3,IF((F180+19)*0.03&lt;10,(F180+19)*0.03,10)),1)</f>
        <v/>
      </c>
      <c r="H180" s="90" t="n"/>
      <c r="I180" s="90">
        <f>CEILING(IF((F180+G180+19)&lt;101,3,IF((F180+G180+19)*0.03&lt;10,(F180+G180+19)*0.03,10)),1)</f>
        <v/>
      </c>
      <c r="J180" s="90" t="n">
        <v>13</v>
      </c>
      <c r="K180" s="90" t="n"/>
      <c r="L180" s="90" t="n"/>
      <c r="M180" s="90" t="n">
        <v>1</v>
      </c>
      <c r="N180" s="90" t="n">
        <v>5</v>
      </c>
      <c r="O180" s="90" t="n"/>
      <c r="P180" s="90">
        <f>+SUM(H180:O180)</f>
        <v/>
      </c>
      <c r="Q180" s="90">
        <f>+F180+P180</f>
        <v/>
      </c>
      <c r="R180" s="91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89">
        <f>SUBSTITUTE(D181, "*", "-")</f>
        <v/>
      </c>
      <c r="B181" s="90">
        <f>IFERROR(VLOOKUP(D181,#REF!, 8, 0), "")</f>
        <v/>
      </c>
      <c r="C181" s="90" t="n"/>
      <c r="D181" s="89" t="inlineStr">
        <is>
          <t>RS+B60N25AQ</t>
        </is>
      </c>
      <c r="E181" s="46" t="n"/>
      <c r="F181" s="90" t="n"/>
      <c r="G181" s="90">
        <f>CEILING(IF((F181+19)&lt;101,3,IF((F181+19)*0.03&lt;10,(F181+19)*0.03,10)),1)</f>
        <v/>
      </c>
      <c r="H181" s="90" t="n"/>
      <c r="I181" s="90">
        <f>CEILING(IF((F181+G181+19)&lt;101,3,IF((F181+G181+19)*0.03&lt;10,(F181+G181+19)*0.03,10)),1)</f>
        <v/>
      </c>
      <c r="J181" s="90" t="n">
        <v>13</v>
      </c>
      <c r="K181" s="90" t="n"/>
      <c r="L181" s="90" t="n"/>
      <c r="M181" s="90" t="n">
        <v>1</v>
      </c>
      <c r="N181" s="90" t="n">
        <v>5</v>
      </c>
      <c r="O181" s="90" t="n"/>
      <c r="P181" s="90">
        <f>+SUM(H181:O181)</f>
        <v/>
      </c>
      <c r="Q181" s="90">
        <f>+F181+P181</f>
        <v/>
      </c>
      <c r="R181" s="91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89">
        <f>SUBSTITUTE(D182, "*", "-")</f>
        <v/>
      </c>
      <c r="B182" s="90">
        <f>IFERROR(VLOOKUP(D182,#REF!, 8, 0), "")</f>
        <v/>
      </c>
      <c r="C182" s="90" t="n"/>
      <c r="D182" s="89" t="inlineStr">
        <is>
          <t>RS+B70K10MQ</t>
        </is>
      </c>
      <c r="E182" s="46" t="n"/>
      <c r="F182" s="90" t="n"/>
      <c r="G182" s="90">
        <f>CEILING(IF((F182+19)&lt;101,3,IF((F182+19)*0.03&lt;10,(F182+19)*0.03,10)),1)</f>
        <v/>
      </c>
      <c r="H182" s="90" t="n"/>
      <c r="I182" s="90">
        <f>CEILING(IF((F182+G182+19)&lt;101,3,IF((F182+G182+19)*0.03&lt;10,(F182+G182+19)*0.03,10)),1)</f>
        <v/>
      </c>
      <c r="J182" s="90" t="n">
        <v>13</v>
      </c>
      <c r="K182" s="90" t="n"/>
      <c r="L182" s="90" t="n"/>
      <c r="M182" s="90" t="n">
        <v>1</v>
      </c>
      <c r="N182" s="90" t="n">
        <v>5</v>
      </c>
      <c r="O182" s="90" t="n"/>
      <c r="P182" s="90">
        <f>+SUM(H182:O182)</f>
        <v/>
      </c>
      <c r="Q182" s="90">
        <f>+F182+P182</f>
        <v/>
      </c>
      <c r="R182" s="91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89">
        <f>SUBSTITUTE(D183, "*", "-")</f>
        <v/>
      </c>
      <c r="B183" s="90">
        <f>IFERROR(VLOOKUP(D183,#REF!, 8, 0), "")</f>
        <v/>
      </c>
      <c r="C183" s="90" t="n"/>
      <c r="D183" s="89" t="inlineStr">
        <is>
          <t>RS+B70N10MQ</t>
        </is>
      </c>
      <c r="E183" s="46" t="n"/>
      <c r="F183" s="90" t="n"/>
      <c r="G183" s="90">
        <f>CEILING(IF((F183+19)&lt;101,3,IF((F183+19)*0.03&lt;10,(F183+19)*0.03,10)),1)</f>
        <v/>
      </c>
      <c r="H183" s="90" t="n"/>
      <c r="I183" s="90">
        <f>CEILING(IF((F183+G183+19)&lt;101,3,IF((F183+G183+19)*0.03&lt;10,(F183+G183+19)*0.03,10)),1)</f>
        <v/>
      </c>
      <c r="J183" s="90" t="n">
        <v>13</v>
      </c>
      <c r="K183" s="90" t="n"/>
      <c r="L183" s="90" t="n"/>
      <c r="M183" s="90" t="n">
        <v>1</v>
      </c>
      <c r="N183" s="90" t="n">
        <v>5</v>
      </c>
      <c r="O183" s="90" t="n"/>
      <c r="P183" s="90">
        <f>+SUM(H183:O183)</f>
        <v/>
      </c>
      <c r="Q183" s="90">
        <f>+F183+P183</f>
        <v/>
      </c>
      <c r="R183" s="91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89">
        <f>SUBSTITUTE(D184, "*", "-")</f>
        <v/>
      </c>
      <c r="B184" s="90">
        <f>IFERROR(VLOOKUP(D184,#REF!, 8, 0), "")</f>
        <v/>
      </c>
      <c r="C184" s="90" t="n"/>
      <c r="D184" s="89" t="inlineStr">
        <is>
          <t>RS+B70N10SQ</t>
        </is>
      </c>
      <c r="E184" s="46" t="n"/>
      <c r="F184" s="90" t="n"/>
      <c r="G184" s="90">
        <f>CEILING(IF((F184+19)&lt;101,3,IF((F184+19)*0.03&lt;10,(F184+19)*0.03,10)),1)</f>
        <v/>
      </c>
      <c r="H184" s="90" t="n"/>
      <c r="I184" s="90">
        <f>CEILING(IF((F184+G184+19)&lt;101,3,IF((F184+G184+19)*0.03&lt;10,(F184+G184+19)*0.03,10)),1)</f>
        <v/>
      </c>
      <c r="J184" s="90" t="n">
        <v>13</v>
      </c>
      <c r="K184" s="90" t="n"/>
      <c r="L184" s="90" t="n"/>
      <c r="M184" s="90" t="n">
        <v>1</v>
      </c>
      <c r="N184" s="90" t="n">
        <v>5</v>
      </c>
      <c r="O184" s="90" t="n"/>
      <c r="P184" s="90">
        <f>+SUM(H184:O184)</f>
        <v/>
      </c>
      <c r="Q184" s="90">
        <f>+F184+P184</f>
        <v/>
      </c>
      <c r="R184" s="91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89">
        <f>SUBSTITUTE(D185, "*", "-")</f>
        <v/>
      </c>
      <c r="B185" s="90">
        <f>IFERROR(VLOOKUP(D185,#REF!, 8, 0), "")</f>
        <v/>
      </c>
      <c r="C185" s="90" t="n"/>
      <c r="D185" s="89" t="inlineStr">
        <is>
          <t>RS+B70N25AQ</t>
        </is>
      </c>
      <c r="E185" s="46" t="n"/>
      <c r="F185" s="90" t="n"/>
      <c r="G185" s="90">
        <f>CEILING(IF((F185+19)&lt;101,3,IF((F185+19)*0.03&lt;10,(F185+19)*0.03,10)),1)</f>
        <v/>
      </c>
      <c r="H185" s="90" t="n"/>
      <c r="I185" s="90">
        <f>CEILING(IF((F185+G185+19)&lt;101,3,IF((F185+G185+19)*0.03&lt;10,(F185+G185+19)*0.03,10)),1)</f>
        <v/>
      </c>
      <c r="J185" s="90" t="n">
        <v>13</v>
      </c>
      <c r="K185" s="90" t="n"/>
      <c r="L185" s="90" t="n"/>
      <c r="M185" s="90" t="n">
        <v>1</v>
      </c>
      <c r="N185" s="90" t="n">
        <v>5</v>
      </c>
      <c r="O185" s="90" t="n"/>
      <c r="P185" s="90">
        <f>+SUM(H185:O185)</f>
        <v/>
      </c>
      <c r="Q185" s="90">
        <f>+F185+P185</f>
        <v/>
      </c>
      <c r="R185" s="91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89">
        <f>SUBSTITUTE(D186, "*", "-")</f>
        <v/>
      </c>
      <c r="B186" s="90">
        <f>IFERROR(VLOOKUP(D186,#REF!, 8, 0), "")</f>
        <v/>
      </c>
      <c r="C186" s="90" t="n"/>
      <c r="D186" s="89" t="inlineStr">
        <is>
          <t>RS+B80K10MQ</t>
        </is>
      </c>
      <c r="E186" s="46" t="n"/>
      <c r="F186" s="90" t="n"/>
      <c r="G186" s="90">
        <f>CEILING(IF((F186+19)&lt;101,3,IF((F186+19)*0.03&lt;10,(F186+19)*0.03,10)),1)</f>
        <v/>
      </c>
      <c r="H186" s="90" t="n"/>
      <c r="I186" s="90">
        <f>CEILING(IF((F186+G186+19)&lt;101,3,IF((F186+G186+19)*0.03&lt;10,(F186+G186+19)*0.03,10)),1)</f>
        <v/>
      </c>
      <c r="J186" s="90" t="n">
        <v>13</v>
      </c>
      <c r="K186" s="90" t="n"/>
      <c r="L186" s="90" t="n"/>
      <c r="M186" s="90" t="n">
        <v>1</v>
      </c>
      <c r="N186" s="90" t="n">
        <v>5</v>
      </c>
      <c r="O186" s="90" t="n"/>
      <c r="P186" s="90">
        <f>+SUM(H186:O186)</f>
        <v/>
      </c>
      <c r="Q186" s="90">
        <f>+F186+P186</f>
        <v/>
      </c>
      <c r="R186" s="91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89">
        <f>SUBSTITUTE(D187, "*", "-")</f>
        <v/>
      </c>
      <c r="B187" s="90">
        <f>IFERROR(VLOOKUP(D187,#REF!, 8, 0), "")</f>
        <v/>
      </c>
      <c r="C187" s="90" t="n"/>
      <c r="D187" s="89" t="inlineStr">
        <is>
          <t>RS+B80K25AQ</t>
        </is>
      </c>
      <c r="E187" s="46" t="n"/>
      <c r="F187" s="90" t="n"/>
      <c r="G187" s="90">
        <f>CEILING(IF((F187+19)&lt;101,3,IF((F187+19)*0.03&lt;10,(F187+19)*0.03,10)),1)</f>
        <v/>
      </c>
      <c r="H187" s="90" t="n"/>
      <c r="I187" s="90">
        <f>CEILING(IF((F187+G187+19)&lt;101,3,IF((F187+G187+19)*0.03&lt;10,(F187+G187+19)*0.03,10)),1)</f>
        <v/>
      </c>
      <c r="J187" s="90" t="n">
        <v>13</v>
      </c>
      <c r="K187" s="90" t="n"/>
      <c r="L187" s="90" t="n"/>
      <c r="M187" s="90" t="n">
        <v>1</v>
      </c>
      <c r="N187" s="90" t="n">
        <v>5</v>
      </c>
      <c r="O187" s="90" t="n"/>
      <c r="P187" s="90">
        <f>+SUM(H187:O187)</f>
        <v/>
      </c>
      <c r="Q187" s="90">
        <f>+F187+P187</f>
        <v/>
      </c>
      <c r="R187" s="91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89">
        <f>SUBSTITUTE(D188, "*", "-")</f>
        <v/>
      </c>
      <c r="B188" s="90">
        <f>IFERROR(VLOOKUP(D188,#REF!, 8, 0), "")</f>
        <v/>
      </c>
      <c r="C188" s="90" t="n"/>
      <c r="D188" s="89" t="inlineStr">
        <is>
          <t>RS+B80N10MQ</t>
        </is>
      </c>
      <c r="E188" s="46" t="n"/>
      <c r="F188" s="90" t="n"/>
      <c r="G188" s="90">
        <f>CEILING(IF((F188+19)&lt;101,3,IF((F188+19)*0.03&lt;10,(F188+19)*0.03,10)),1)</f>
        <v/>
      </c>
      <c r="H188" s="90" t="n"/>
      <c r="I188" s="90">
        <f>CEILING(IF((F188+G188+19)&lt;101,3,IF((F188+G188+19)*0.03&lt;10,(F188+G188+19)*0.03,10)),1)</f>
        <v/>
      </c>
      <c r="J188" s="90" t="n">
        <v>13</v>
      </c>
      <c r="K188" s="90" t="n"/>
      <c r="L188" s="90" t="n"/>
      <c r="M188" s="90" t="n">
        <v>1</v>
      </c>
      <c r="N188" s="90" t="n">
        <v>5</v>
      </c>
      <c r="O188" s="90" t="n"/>
      <c r="P188" s="90">
        <f>+SUM(H188:O188)</f>
        <v/>
      </c>
      <c r="Q188" s="90">
        <f>+F188+P188</f>
        <v/>
      </c>
      <c r="R188" s="91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89">
        <f>SUBSTITUTE(D189, "*", "-")</f>
        <v/>
      </c>
      <c r="B189" s="90">
        <f>IFERROR(VLOOKUP(D189,#REF!, 8, 0), "")</f>
        <v/>
      </c>
      <c r="C189" s="90" t="n"/>
      <c r="D189" s="89" t="inlineStr">
        <is>
          <t>RS+B80N10SQ</t>
        </is>
      </c>
      <c r="E189" s="46" t="n"/>
      <c r="F189" s="90" t="n"/>
      <c r="G189" s="90">
        <f>CEILING(IF((F189+19)&lt;101,3,IF((F189+19)*0.03&lt;10,(F189+19)*0.03,10)),1)</f>
        <v/>
      </c>
      <c r="H189" s="90" t="n"/>
      <c r="I189" s="90">
        <f>CEILING(IF((F189+G189+19)&lt;101,3,IF((F189+G189+19)*0.03&lt;10,(F189+G189+19)*0.03,10)),1)</f>
        <v/>
      </c>
      <c r="J189" s="90" t="n">
        <v>13</v>
      </c>
      <c r="K189" s="90" t="n"/>
      <c r="L189" s="90" t="n"/>
      <c r="M189" s="90" t="n">
        <v>1</v>
      </c>
      <c r="N189" s="90" t="n">
        <v>5</v>
      </c>
      <c r="O189" s="90" t="n"/>
      <c r="P189" s="90">
        <f>+SUM(H189:O189)</f>
        <v/>
      </c>
      <c r="Q189" s="90">
        <f>+F189+P189</f>
        <v/>
      </c>
      <c r="R189" s="91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89">
        <f>SUBSTITUTE(D190, "*", "-")</f>
        <v/>
      </c>
      <c r="B190" s="90">
        <f>IFERROR(VLOOKUP(D190,#REF!, 8, 0), "")</f>
        <v/>
      </c>
      <c r="C190" s="90" t="n"/>
      <c r="D190" s="89" t="inlineStr">
        <is>
          <t>RS+B80N25AQ</t>
        </is>
      </c>
      <c r="E190" s="46" t="n"/>
      <c r="F190" s="90" t="n"/>
      <c r="G190" s="90">
        <f>CEILING(IF((F190+19)&lt;101,3,IF((F190+19)*0.03&lt;10,(F190+19)*0.03,10)),1)</f>
        <v/>
      </c>
      <c r="H190" s="90" t="n"/>
      <c r="I190" s="90">
        <f>CEILING(IF((F190+G190+19)&lt;101,3,IF((F190+G190+19)*0.03&lt;10,(F190+G190+19)*0.03,10)),1)</f>
        <v/>
      </c>
      <c r="J190" s="90" t="n">
        <v>13</v>
      </c>
      <c r="K190" s="90" t="n"/>
      <c r="L190" s="90" t="n"/>
      <c r="M190" s="90" t="n">
        <v>1</v>
      </c>
      <c r="N190" s="90" t="n">
        <v>5</v>
      </c>
      <c r="O190" s="90" t="n"/>
      <c r="P190" s="90">
        <f>+SUM(H190:O190)</f>
        <v/>
      </c>
      <c r="Q190" s="90">
        <f>+F190+P190</f>
        <v/>
      </c>
      <c r="R190" s="91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89">
        <f>SUBSTITUTE(D191, "*", "-")</f>
        <v/>
      </c>
      <c r="B191" s="90">
        <f>IFERROR(VLOOKUP(D191,#REF!, 8, 0), "")</f>
        <v/>
      </c>
      <c r="C191" s="90" t="n"/>
      <c r="D191" s="89" t="inlineStr">
        <is>
          <t>RS+B40K10MR</t>
        </is>
      </c>
      <c r="E191" s="46" t="n"/>
      <c r="F191" s="90" t="n"/>
      <c r="G191" s="90">
        <f>CEILING(IF((F191+19)&lt;101,3,IF((F191+19)*0.03&lt;10,(F191+19)*0.03,10)),1)</f>
        <v/>
      </c>
      <c r="H191" s="90" t="n"/>
      <c r="I191" s="90">
        <f>CEILING(IF((F191+G191+19)&lt;101,3,IF((F191+G191+19)*0.03&lt;10,(F191+G191+19)*0.03,10)),1)</f>
        <v/>
      </c>
      <c r="J191" s="90" t="n">
        <v>13</v>
      </c>
      <c r="K191" s="90" t="n"/>
      <c r="L191" s="90" t="n"/>
      <c r="M191" s="90" t="n">
        <v>1</v>
      </c>
      <c r="N191" s="90" t="n">
        <v>5</v>
      </c>
      <c r="O191" s="90" t="n"/>
      <c r="P191" s="90">
        <f>+SUM(H191:O191)</f>
        <v/>
      </c>
      <c r="Q191" s="90">
        <f>+F191+P191</f>
        <v/>
      </c>
      <c r="R191" s="91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89">
        <f>SUBSTITUTE(D192, "*", "-")</f>
        <v/>
      </c>
      <c r="B192" s="90">
        <f>IFERROR(VLOOKUP(D192,#REF!, 8, 0), "")</f>
        <v/>
      </c>
      <c r="C192" s="90" t="n"/>
      <c r="D192" s="89" t="inlineStr">
        <is>
          <t>RS+B50K10MR</t>
        </is>
      </c>
      <c r="E192" s="46" t="n"/>
      <c r="F192" s="90" t="n"/>
      <c r="G192" s="90">
        <f>CEILING(IF((F192+19)&lt;101,3,IF((F192+19)*0.03&lt;10,(F192+19)*0.03,10)),1)</f>
        <v/>
      </c>
      <c r="H192" s="90" t="n"/>
      <c r="I192" s="90">
        <f>CEILING(IF((F192+G192+19)&lt;101,3,IF((F192+G192+19)*0.03&lt;10,(F192+G192+19)*0.03,10)),1)</f>
        <v/>
      </c>
      <c r="J192" s="90" t="n">
        <v>13</v>
      </c>
      <c r="K192" s="90" t="n"/>
      <c r="L192" s="90" t="n"/>
      <c r="M192" s="90" t="n">
        <v>1</v>
      </c>
      <c r="N192" s="90" t="n">
        <v>5</v>
      </c>
      <c r="O192" s="90" t="n"/>
      <c r="P192" s="90">
        <f>+SUM(H192:O192)</f>
        <v/>
      </c>
      <c r="Q192" s="90">
        <f>+F192+P192</f>
        <v/>
      </c>
      <c r="R192" s="91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89">
        <f>SUBSTITUTE(D193, "*", "-")</f>
        <v/>
      </c>
      <c r="B193" s="90">
        <f>IFERROR(VLOOKUP(D193,#REF!, 8, 0), "")</f>
        <v/>
      </c>
      <c r="C193" s="90" t="n"/>
      <c r="D193" s="89" t="inlineStr">
        <is>
          <t>RS+B60K10MR</t>
        </is>
      </c>
      <c r="E193" s="46" t="n"/>
      <c r="F193" s="90" t="n"/>
      <c r="G193" s="90">
        <f>CEILING(IF((F193+19)&lt;101,3,IF((F193+19)*0.03&lt;10,(F193+19)*0.03,10)),1)</f>
        <v/>
      </c>
      <c r="H193" s="90" t="n"/>
      <c r="I193" s="90">
        <f>CEILING(IF((F193+G193+19)&lt;101,3,IF((F193+G193+19)*0.03&lt;10,(F193+G193+19)*0.03,10)),1)</f>
        <v/>
      </c>
      <c r="J193" s="90" t="n">
        <v>13</v>
      </c>
      <c r="K193" s="90" t="n"/>
      <c r="L193" s="90" t="n"/>
      <c r="M193" s="90" t="n">
        <v>1</v>
      </c>
      <c r="N193" s="90" t="n">
        <v>5</v>
      </c>
      <c r="O193" s="90" t="n"/>
      <c r="P193" s="90">
        <f>+SUM(H193:O193)</f>
        <v/>
      </c>
      <c r="Q193" s="90">
        <f>+F193+P193</f>
        <v/>
      </c>
      <c r="R193" s="91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89">
        <f>SUBSTITUTE(D194, "*", "-")</f>
        <v/>
      </c>
      <c r="B194" s="90">
        <f>IFERROR(VLOOKUP(D194,#REF!, 8, 0), "")</f>
        <v/>
      </c>
      <c r="C194" s="90" t="n"/>
      <c r="D194" s="89" t="inlineStr">
        <is>
          <t>RS+C40G10NR</t>
        </is>
      </c>
      <c r="E194" s="46" t="n"/>
      <c r="F194" s="90" t="n"/>
      <c r="G194" s="90">
        <f>CEILING(IF((F194+19)&lt;101,3,IF((F194+19)*0.03&lt;10,(F194+19)*0.03,10)),1)</f>
        <v/>
      </c>
      <c r="H194" s="90" t="n"/>
      <c r="I194" s="90">
        <f>CEILING(IF((F194+G194+19)&lt;101,3,IF((F194+G194+19)*0.03&lt;10,(F194+G194+19)*0.03,10)),1)</f>
        <v/>
      </c>
      <c r="J194" s="90" t="n">
        <v>13</v>
      </c>
      <c r="K194" s="90" t="n"/>
      <c r="L194" s="90" t="n"/>
      <c r="M194" s="90" t="n">
        <v>1</v>
      </c>
      <c r="N194" s="90" t="n">
        <v>5</v>
      </c>
      <c r="O194" s="90" t="n"/>
      <c r="P194" s="90">
        <f>+SUM(H194:O194)</f>
        <v/>
      </c>
      <c r="Q194" s="90">
        <f>+F194+P194</f>
        <v/>
      </c>
      <c r="R194" s="91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89">
        <f>SUBSTITUTE(D195, "*", "-")</f>
        <v/>
      </c>
      <c r="B195" s="90">
        <f>IFERROR(VLOOKUP(D195,#REF!, 8, 0), "")</f>
        <v/>
      </c>
      <c r="C195" s="90" t="n"/>
      <c r="D195" s="89" t="inlineStr">
        <is>
          <t>RS+C40K10NR</t>
        </is>
      </c>
      <c r="E195" s="46" t="n"/>
      <c r="F195" s="90" t="n"/>
      <c r="G195" s="90">
        <f>CEILING(IF((F195+19)&lt;101,3,IF((F195+19)*0.03&lt;10,(F195+19)*0.03,10)),1)</f>
        <v/>
      </c>
      <c r="H195" s="90" t="n"/>
      <c r="I195" s="90">
        <f>CEILING(IF((F195+G195+19)&lt;101,3,IF((F195+G195+19)*0.03&lt;10,(F195+G195+19)*0.03,10)),1)</f>
        <v/>
      </c>
      <c r="J195" s="90" t="n">
        <v>13</v>
      </c>
      <c r="K195" s="90" t="n"/>
      <c r="L195" s="90" t="n"/>
      <c r="M195" s="90" t="n">
        <v>1</v>
      </c>
      <c r="N195" s="90" t="n">
        <v>5</v>
      </c>
      <c r="O195" s="90" t="n"/>
      <c r="P195" s="90">
        <f>+SUM(H195:O195)</f>
        <v/>
      </c>
      <c r="Q195" s="90">
        <f>+F195+P195</f>
        <v/>
      </c>
      <c r="R195" s="91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89">
        <f>SUBSTITUTE(D196, "*", "-")</f>
        <v/>
      </c>
      <c r="B196" s="90">
        <f>IFERROR(VLOOKUP(D196,#REF!, 8, 0), "")</f>
        <v/>
      </c>
      <c r="C196" s="90" t="n"/>
      <c r="D196" s="89" t="inlineStr">
        <is>
          <t>RS+C40K25NR</t>
        </is>
      </c>
      <c r="E196" s="46" t="n"/>
      <c r="F196" s="90" t="n"/>
      <c r="G196" s="90">
        <f>CEILING(IF((F196+19)&lt;101,3,IF((F196+19)*0.03&lt;10,(F196+19)*0.03,10)),1)</f>
        <v/>
      </c>
      <c r="H196" s="90" t="n"/>
      <c r="I196" s="90">
        <f>CEILING(IF((F196+G196+19)&lt;101,3,IF((F196+G196+19)*0.03&lt;10,(F196+G196+19)*0.03,10)),1)</f>
        <v/>
      </c>
      <c r="J196" s="90" t="n">
        <v>13</v>
      </c>
      <c r="K196" s="90" t="n"/>
      <c r="L196" s="90" t="n"/>
      <c r="M196" s="90" t="n">
        <v>1</v>
      </c>
      <c r="N196" s="90" t="n">
        <v>5</v>
      </c>
      <c r="O196" s="90" t="n"/>
      <c r="P196" s="90">
        <f>+SUM(H196:O196)</f>
        <v/>
      </c>
      <c r="Q196" s="90">
        <f>+F196+P196</f>
        <v/>
      </c>
      <c r="R196" s="91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89">
        <f>SUBSTITUTE(D197, "*", "-")</f>
        <v/>
      </c>
      <c r="B197" s="90">
        <f>IFERROR(VLOOKUP(D197,#REF!, 8, 0), "")</f>
        <v/>
      </c>
      <c r="C197" s="90" t="n"/>
      <c r="D197" s="89" t="inlineStr">
        <is>
          <t>RS+C50N10NR</t>
        </is>
      </c>
      <c r="E197" s="46" t="n"/>
      <c r="F197" s="90" t="n"/>
      <c r="G197" s="90">
        <f>CEILING(IF((F197+19)&lt;101,3,IF((F197+19)*0.03&lt;10,(F197+19)*0.03,10)),1)</f>
        <v/>
      </c>
      <c r="H197" s="90" t="n"/>
      <c r="I197" s="90">
        <f>CEILING(IF((F197+G197+19)&lt;101,3,IF((F197+G197+19)*0.03&lt;10,(F197+G197+19)*0.03,10)),1)</f>
        <v/>
      </c>
      <c r="J197" s="90" t="n">
        <v>13</v>
      </c>
      <c r="K197" s="90" t="n"/>
      <c r="L197" s="90" t="n"/>
      <c r="M197" s="90" t="n">
        <v>1</v>
      </c>
      <c r="N197" s="90" t="n">
        <v>5</v>
      </c>
      <c r="O197" s="90" t="n"/>
      <c r="P197" s="90">
        <f>+SUM(H197:O197)</f>
        <v/>
      </c>
      <c r="Q197" s="90">
        <f>+F197+P197</f>
        <v/>
      </c>
      <c r="R197" s="91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89">
        <f>SUBSTITUTE(D198, "*", "-")</f>
        <v/>
      </c>
      <c r="B198" s="90">
        <f>IFERROR(VLOOKUP(D198,#REF!, 8, 0), "")</f>
        <v/>
      </c>
      <c r="C198" s="90" t="n"/>
      <c r="D198" s="89" t="inlineStr">
        <is>
          <t>RS+C60N10NR</t>
        </is>
      </c>
      <c r="E198" s="46" t="n"/>
      <c r="F198" s="90" t="n"/>
      <c r="G198" s="90">
        <f>CEILING(IF((F198+19)&lt;101,3,IF((F198+19)*0.03&lt;10,(F198+19)*0.03,10)),1)</f>
        <v/>
      </c>
      <c r="H198" s="90" t="n"/>
      <c r="I198" s="90">
        <f>CEILING(IF((F198+G198+19)&lt;101,3,IF((F198+G198+19)*0.03&lt;10,(F198+G198+19)*0.03,10)),1)</f>
        <v/>
      </c>
      <c r="J198" s="90" t="n">
        <v>13</v>
      </c>
      <c r="K198" s="90" t="n"/>
      <c r="L198" s="90" t="n"/>
      <c r="M198" s="90" t="n">
        <v>1</v>
      </c>
      <c r="N198" s="90" t="n">
        <v>5</v>
      </c>
      <c r="O198" s="90" t="n"/>
      <c r="P198" s="90">
        <f>+SUM(H198:O198)</f>
        <v/>
      </c>
      <c r="Q198" s="90">
        <f>+F198+P198</f>
        <v/>
      </c>
      <c r="R198" s="91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89">
        <f>SUBSTITUTE(D199, "*", "-")</f>
        <v/>
      </c>
      <c r="B199" s="90">
        <f>IFERROR(VLOOKUP(D199,#REF!, 8, 0), "")</f>
        <v/>
      </c>
      <c r="C199" s="90" t="n"/>
      <c r="D199" s="89" t="inlineStr">
        <is>
          <t>RS+C60N25NR</t>
        </is>
      </c>
      <c r="E199" s="46" t="n"/>
      <c r="F199" s="90" t="n"/>
      <c r="G199" s="90">
        <f>CEILING(IF((F199+19)&lt;101,3,IF((F199+19)*0.03&lt;10,(F199+19)*0.03,10)),1)</f>
        <v/>
      </c>
      <c r="H199" s="90" t="n"/>
      <c r="I199" s="90">
        <f>CEILING(IF((F199+G199+19)&lt;101,3,IF((F199+G199+19)*0.03&lt;10,(F199+G199+19)*0.03,10)),1)</f>
        <v/>
      </c>
      <c r="J199" s="90" t="n">
        <v>13</v>
      </c>
      <c r="K199" s="90" t="n"/>
      <c r="L199" s="90" t="n"/>
      <c r="M199" s="90" t="n">
        <v>1</v>
      </c>
      <c r="N199" s="90" t="n">
        <v>5</v>
      </c>
      <c r="O199" s="90" t="n"/>
      <c r="P199" s="90">
        <f>+SUM(H199:O199)</f>
        <v/>
      </c>
      <c r="Q199" s="90">
        <f>+F199+P199</f>
        <v/>
      </c>
      <c r="R199" s="91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89">
        <f>SUBSTITUTE(D200, "*", "-")</f>
        <v/>
      </c>
      <c r="B200" s="90">
        <f>IFERROR(VLOOKUP(D200,#REF!, 8, 0), "")</f>
        <v/>
      </c>
      <c r="C200" s="90" t="n"/>
      <c r="D200" s="89" t="inlineStr">
        <is>
          <t>RS+C70N10NR</t>
        </is>
      </c>
      <c r="E200" s="46" t="n"/>
      <c r="F200" s="92" t="n"/>
      <c r="G200" s="90">
        <f>CEILING(IF((F200+19)&lt;101,3,IF((F200+19)*0.03&lt;10,(F200+19)*0.03,10)),1)</f>
        <v/>
      </c>
      <c r="H200" s="90" t="n"/>
      <c r="I200" s="90">
        <f>CEILING(IF((F200+G200+19)&lt;101,3,IF((F200+G200+19)*0.03&lt;10,(F200+G200+19)*0.03,10)),1)</f>
        <v/>
      </c>
      <c r="J200" s="90" t="n">
        <v>13</v>
      </c>
      <c r="K200" s="90" t="n"/>
      <c r="L200" s="90" t="n"/>
      <c r="M200" s="90" t="n">
        <v>1</v>
      </c>
      <c r="N200" s="90" t="n">
        <v>5</v>
      </c>
      <c r="O200" s="90" t="n"/>
      <c r="P200" s="90">
        <f>+SUM(H200:O200)</f>
        <v/>
      </c>
      <c r="Q200" s="90">
        <f>+F200+P200</f>
        <v/>
      </c>
      <c r="R200" s="91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89">
        <f>SUBSTITUTE(D201, "*", "-")</f>
        <v/>
      </c>
      <c r="B201" s="90">
        <f>IFERROR(VLOOKUP(D201,#REF!, 8, 0), "")</f>
        <v/>
      </c>
      <c r="C201" s="90" t="n"/>
      <c r="D201" s="89" t="inlineStr">
        <is>
          <t>RS+C70N25NR</t>
        </is>
      </c>
      <c r="E201" s="46" t="n"/>
      <c r="F201" s="92" t="n"/>
      <c r="G201" s="90">
        <f>CEILING(IF((F201+19)&lt;101,3,IF((F201+19)*0.03&lt;10,(F201+19)*0.03,10)),1)</f>
        <v/>
      </c>
      <c r="H201" s="90" t="n"/>
      <c r="I201" s="90">
        <f>CEILING(IF((F201+G201+19)&lt;101,3,IF((F201+G201+19)*0.03&lt;10,(F201+G201+19)*0.03,10)),1)</f>
        <v/>
      </c>
      <c r="J201" s="90" t="n">
        <v>13</v>
      </c>
      <c r="K201" s="90" t="n"/>
      <c r="L201" s="90" t="n"/>
      <c r="M201" s="90" t="n">
        <v>1</v>
      </c>
      <c r="N201" s="90" t="n">
        <v>5</v>
      </c>
      <c r="O201" s="90" t="n"/>
      <c r="P201" s="90">
        <f>+SUM(H201:O201)</f>
        <v/>
      </c>
      <c r="Q201" s="90">
        <f>+F201+P201</f>
        <v/>
      </c>
      <c r="R201" s="91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89">
        <f>SUBSTITUTE(D202, "*", "-")</f>
        <v/>
      </c>
      <c r="B202" s="90">
        <f>IFERROR(VLOOKUP(D202,#REF!, 8, 0), "")</f>
        <v/>
      </c>
      <c r="C202" s="90" t="n"/>
      <c r="D202" s="89" t="inlineStr">
        <is>
          <t>RS+C80N10NR</t>
        </is>
      </c>
      <c r="E202" s="46" t="n"/>
      <c r="F202" s="90" t="n"/>
      <c r="G202" s="90">
        <f>CEILING(IF((F202+19)&lt;101,3,IF((F202+19)*0.03&lt;10,(F202+19)*0.03,10)),1)</f>
        <v/>
      </c>
      <c r="H202" s="90" t="n"/>
      <c r="I202" s="90">
        <f>CEILING(IF((F202+G202+19)&lt;101,3,IF((F202+G202+19)*0.03&lt;10,(F202+G202+19)*0.03,10)),1)</f>
        <v/>
      </c>
      <c r="J202" s="90" t="n">
        <v>13</v>
      </c>
      <c r="K202" s="90" t="n"/>
      <c r="L202" s="90" t="n"/>
      <c r="M202" s="90" t="n">
        <v>1</v>
      </c>
      <c r="N202" s="90" t="n">
        <v>5</v>
      </c>
      <c r="O202" s="90" t="n"/>
      <c r="P202" s="90">
        <f>+SUM(H202:O202)</f>
        <v/>
      </c>
      <c r="Q202" s="90">
        <f>+F202+P202</f>
        <v/>
      </c>
      <c r="R202" s="91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89">
        <f>SUBSTITUTE(D203, "*", "-")</f>
        <v/>
      </c>
      <c r="B203" s="90">
        <f>IFERROR(VLOOKUP(D203,#REF!, 8, 0), "")</f>
        <v/>
      </c>
      <c r="C203" s="90" t="n"/>
      <c r="D203" s="89" t="inlineStr">
        <is>
          <t>RS+C80N25NR</t>
        </is>
      </c>
      <c r="E203" s="46" t="n"/>
      <c r="F203" s="90" t="n"/>
      <c r="G203" s="90">
        <f>CEILING(IF((F203+19)&lt;101,3,IF((F203+19)*0.03&lt;10,(F203+19)*0.03,10)),1)</f>
        <v/>
      </c>
      <c r="H203" s="90" t="n"/>
      <c r="I203" s="90">
        <f>CEILING(IF((F203+G203+19)&lt;101,3,IF((F203+G203+19)*0.03&lt;10,(F203+G203+19)*0.03,10)),1)</f>
        <v/>
      </c>
      <c r="J203" s="90" t="n">
        <v>13</v>
      </c>
      <c r="K203" s="90" t="n"/>
      <c r="L203" s="90" t="n"/>
      <c r="M203" s="90" t="n">
        <v>1</v>
      </c>
      <c r="N203" s="90" t="n">
        <v>5</v>
      </c>
      <c r="O203" s="90" t="n"/>
      <c r="P203" s="90">
        <f>+SUM(H203:O203)</f>
        <v/>
      </c>
      <c r="Q203" s="90">
        <f>+F203+P203</f>
        <v/>
      </c>
      <c r="R203" s="91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89">
        <f>SUBSTITUTE(D204, "*", "-")</f>
        <v/>
      </c>
      <c r="B204" s="90">
        <f>IFERROR(VLOOKUP(D204,#REF!, 8, 0), "")</f>
        <v/>
      </c>
      <c r="C204" s="90" t="n"/>
      <c r="D204" s="89" t="inlineStr">
        <is>
          <t>RS+R40K10MQ</t>
        </is>
      </c>
      <c r="E204" s="46" t="n"/>
      <c r="F204" s="90" t="n"/>
      <c r="G204" s="90">
        <f>CEILING(IF((F204+19)&lt;101,3,IF((F204+19)*0.03&lt;10,(F204+19)*0.03,10)),1)</f>
        <v/>
      </c>
      <c r="H204" s="90" t="n"/>
      <c r="I204" s="90">
        <f>CEILING(IF((F204+G204+19)&lt;101,3,IF((F204+G204+19)*0.03&lt;10,(F204+G204+19)*0.03,10)),1)</f>
        <v/>
      </c>
      <c r="J204" s="90" t="n">
        <v>13</v>
      </c>
      <c r="K204" s="90" t="n"/>
      <c r="L204" s="90" t="n"/>
      <c r="M204" s="90" t="n">
        <v>1</v>
      </c>
      <c r="N204" s="90" t="n">
        <v>5</v>
      </c>
      <c r="O204" s="90" t="n"/>
      <c r="P204" s="90">
        <f>+SUM(H204:O204)</f>
        <v/>
      </c>
      <c r="Q204" s="90">
        <f>+F204+P204</f>
        <v/>
      </c>
      <c r="R204" s="91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89">
        <f>SUBSTITUTE(D205, "*", "-")</f>
        <v/>
      </c>
      <c r="B205" s="90">
        <f>IFERROR(VLOOKUP(D205,#REF!, 8, 0), "")</f>
        <v/>
      </c>
      <c r="C205" s="90" t="n"/>
      <c r="D205" s="89" t="inlineStr">
        <is>
          <t>RS+R50N10MQ</t>
        </is>
      </c>
      <c r="E205" s="46" t="n"/>
      <c r="F205" s="90" t="n"/>
      <c r="G205" s="90">
        <f>CEILING(IF((F205+19)&lt;101,3,IF((F205+19)*0.03&lt;10,(F205+19)*0.03,10)),1)</f>
        <v/>
      </c>
      <c r="H205" s="90" t="n"/>
      <c r="I205" s="90">
        <f>CEILING(IF((F205+G205+19)&lt;101,3,IF((F205+G205+19)*0.03&lt;10,(F205+G205+19)*0.03,10)),1)</f>
        <v/>
      </c>
      <c r="J205" s="90" t="n">
        <v>13</v>
      </c>
      <c r="K205" s="90" t="n"/>
      <c r="L205" s="90" t="n"/>
      <c r="M205" s="90" t="n">
        <v>1</v>
      </c>
      <c r="N205" s="90" t="n">
        <v>5</v>
      </c>
      <c r="O205" s="90" t="n"/>
      <c r="P205" s="90">
        <f>+SUM(H205:O205)</f>
        <v/>
      </c>
      <c r="Q205" s="90">
        <f>+F205+P205</f>
        <v/>
      </c>
      <c r="R205" s="91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89">
        <f>SUBSTITUTE(D206, "*", "-")</f>
        <v/>
      </c>
      <c r="B206" s="90">
        <f>IFERROR(VLOOKUP(D206,#REF!, 8, 0), "")</f>
        <v/>
      </c>
      <c r="C206" s="90" t="n"/>
      <c r="D206" s="89" t="inlineStr">
        <is>
          <t>RS+R60N10MQ</t>
        </is>
      </c>
      <c r="E206" s="46" t="n"/>
      <c r="F206" s="90" t="n"/>
      <c r="G206" s="90">
        <f>CEILING(IF((F206+19)&lt;101,3,IF((F206+19)*0.03&lt;10,(F206+19)*0.03,10)),1)</f>
        <v/>
      </c>
      <c r="H206" s="90" t="n"/>
      <c r="I206" s="90">
        <f>CEILING(IF((F206+G206+19)&lt;101,3,IF((F206+G206+19)*0.03&lt;10,(F206+G206+19)*0.03,10)),1)</f>
        <v/>
      </c>
      <c r="J206" s="90" t="n">
        <v>13</v>
      </c>
      <c r="K206" s="90" t="n"/>
      <c r="L206" s="90" t="n"/>
      <c r="M206" s="90" t="n">
        <v>1</v>
      </c>
      <c r="N206" s="90" t="n">
        <v>5</v>
      </c>
      <c r="O206" s="90" t="n"/>
      <c r="P206" s="90">
        <f>+SUM(H206:O206)</f>
        <v/>
      </c>
      <c r="Q206" s="90">
        <f>+F206+P206</f>
        <v/>
      </c>
      <c r="R206" s="91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89">
        <f>SUBSTITUTE(D207, "*", "-")</f>
        <v/>
      </c>
      <c r="B207" s="90">
        <f>IFERROR(VLOOKUP(D207,#REF!, 8, 0), "")</f>
        <v/>
      </c>
      <c r="C207" s="90" t="n"/>
      <c r="D207" s="89" t="inlineStr">
        <is>
          <t>RS+R70N10MQ</t>
        </is>
      </c>
      <c r="E207" s="46" t="n"/>
      <c r="F207" s="90" t="n"/>
      <c r="G207" s="90">
        <f>CEILING(IF((F207+19)&lt;101,3,IF((F207+19)*0.03&lt;10,(F207+19)*0.03,10)),1)</f>
        <v/>
      </c>
      <c r="H207" s="90" t="n"/>
      <c r="I207" s="90">
        <f>CEILING(IF((F207+G207+19)&lt;101,3,IF((F207+G207+19)*0.03&lt;10,(F207+G207+19)*0.03,10)),1)</f>
        <v/>
      </c>
      <c r="J207" s="90" t="n">
        <v>13</v>
      </c>
      <c r="K207" s="90" t="n"/>
      <c r="L207" s="90" t="n"/>
      <c r="M207" s="90" t="n">
        <v>1</v>
      </c>
      <c r="N207" s="90" t="n">
        <v>5</v>
      </c>
      <c r="O207" s="90" t="n"/>
      <c r="P207" s="90">
        <f>+SUM(H207:O207)</f>
        <v/>
      </c>
      <c r="Q207" s="90">
        <f>+F207+P207</f>
        <v/>
      </c>
      <c r="R207" s="91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89">
        <f>SUBSTITUTE(D208, "*", "-")</f>
        <v/>
      </c>
      <c r="B208" s="90">
        <f>IFERROR(VLOOKUP(D208,#REF!, 8, 0), "")</f>
        <v/>
      </c>
      <c r="C208" s="90" t="n"/>
      <c r="D208" s="89" t="inlineStr">
        <is>
          <t>RS+R80N10MQ</t>
        </is>
      </c>
      <c r="E208" s="46" t="n"/>
      <c r="F208" s="90" t="n"/>
      <c r="G208" s="90">
        <f>CEILING(IF((F208+19)&lt;101,3,IF((F208+19)*0.03&lt;10,(F208+19)*0.03,10)),1)</f>
        <v/>
      </c>
      <c r="H208" s="90" t="n"/>
      <c r="I208" s="90">
        <f>CEILING(IF((F208+G208+19)&lt;101,3,IF((F208+G208+19)*0.03&lt;10,(F208+G208+19)*0.03,10)),1)</f>
        <v/>
      </c>
      <c r="J208" s="90" t="n">
        <v>13</v>
      </c>
      <c r="K208" s="90" t="n"/>
      <c r="L208" s="90" t="n"/>
      <c r="M208" s="90" t="n">
        <v>1</v>
      </c>
      <c r="N208" s="90" t="n">
        <v>5</v>
      </c>
      <c r="O208" s="90" t="n"/>
      <c r="P208" s="90">
        <f>+SUM(H208:O208)</f>
        <v/>
      </c>
      <c r="Q208" s="90">
        <f>+F208+P208</f>
        <v/>
      </c>
      <c r="R208" s="91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60"/>
    <col width="9.140625" customWidth="1" style="18" min="61" max="16384"/>
  </cols>
  <sheetData>
    <row r="1" ht="42" customFormat="1" customHeight="1" s="17">
      <c r="A1" s="93" t="inlineStr">
        <is>
          <t>STT</t>
        </is>
      </c>
      <c r="B1" s="94" t="inlineStr">
        <is>
          <t>STT lô theo từng mã</t>
        </is>
      </c>
      <c r="C1" s="51" t="inlineStr">
        <is>
          <t>Số lượng đã được chia</t>
        </is>
      </c>
      <c r="D1" s="51" t="n"/>
      <c r="E1" s="95" t="inlineStr">
        <is>
          <t>STT1</t>
        </is>
      </c>
      <c r="F1" s="95" t="inlineStr">
        <is>
          <t>STT2</t>
        </is>
      </c>
      <c r="G1" s="52" t="inlineStr">
        <is>
          <t>Tổng số lượng sản xuất (chưa chia)</t>
        </is>
      </c>
      <c r="H1" s="52" t="n"/>
      <c r="I1" s="96" t="inlineStr">
        <is>
          <t>SL LOT</t>
        </is>
      </c>
      <c r="J1" s="96" t="inlineStr">
        <is>
          <t>MOD</t>
        </is>
      </c>
      <c r="K1" s="97" t="inlineStr">
        <is>
          <t>Số lượng max/1 palet</t>
        </is>
      </c>
      <c r="L1" s="83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5" t="n"/>
      <c r="B2" s="85" t="n"/>
      <c r="C2" s="56" t="inlineStr">
        <is>
          <t>Mã FG</t>
        </is>
      </c>
      <c r="D2" s="56" t="inlineStr">
        <is>
          <t>SL/lot</t>
        </is>
      </c>
      <c r="E2" s="85" t="n"/>
      <c r="F2" s="85" t="n"/>
      <c r="G2" s="57" t="inlineStr">
        <is>
          <t>Mã FG</t>
        </is>
      </c>
      <c r="H2" s="57" t="inlineStr">
        <is>
          <t>Tổng sx</t>
        </is>
      </c>
      <c r="I2" s="85" t="n"/>
      <c r="J2" s="85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F1:F2"/>
    <mergeCell ref="E1:E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3"/>
  <sheetViews>
    <sheetView zoomScale="85" zoomScaleNormal="85" workbookViewId="0">
      <selection activeCell="A1" sqref="A1:G1"/>
    </sheetView>
  </sheetViews>
  <sheetFormatPr baseColWidth="8" defaultRowHeight="12.75"/>
  <cols>
    <col width="17.85546875" customWidth="1" style="71" min="2" max="2"/>
    <col width="23.42578125" customWidth="1" style="71" min="3" max="3"/>
    <col width="19.42578125" customWidth="1" style="71" min="4" max="4"/>
    <col width="21" customWidth="1" style="71" min="5" max="5"/>
    <col width="13" customWidth="1" style="71" min="6" max="6"/>
    <col width="9.140625" customWidth="1" style="71" min="7" max="7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69" t="inlineStr">
        <is>
          <t>Số lượng sản xuất</t>
        </is>
      </c>
      <c r="E1" s="70" t="inlineStr">
        <is>
          <t>Mẫu Khuẩn ban đầu</t>
        </is>
      </c>
      <c r="F1" s="70" t="inlineStr">
        <is>
          <t>Mẫu EOG</t>
        </is>
      </c>
      <c r="G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69" t="inlineStr">
        <is>
          <t>X4</t>
        </is>
      </c>
      <c r="E2" s="69" t="inlineStr">
        <is>
          <t>X7</t>
        </is>
      </c>
      <c r="F2" s="69" t="inlineStr">
        <is>
          <t>X8</t>
        </is>
      </c>
      <c r="G2" s="69" t="inlineStr">
        <is>
          <t>X9</t>
        </is>
      </c>
    </row>
    <row r="3" ht="15" customHeight="1">
      <c r="A3" s="76" t="n">
        <v>1</v>
      </c>
      <c r="B3" s="76" t="inlineStr">
        <is>
          <t>T</t>
        </is>
      </c>
      <c r="C3" s="76" t="inlineStr">
        <is>
          <t>RF*GA35153M</t>
        </is>
      </c>
      <c r="D3" s="76" t="n">
        <v>330000</v>
      </c>
      <c r="E3" s="76" t="n">
        <v>0</v>
      </c>
      <c r="F3" s="76" t="n">
        <v>0</v>
      </c>
      <c r="G3" s="76" t="n">
        <v>0</v>
      </c>
    </row>
    <row r="4" ht="15" customHeight="1">
      <c r="A4" s="76" t="n">
        <v>2</v>
      </c>
      <c r="B4" s="76" t="inlineStr">
        <is>
          <t>T</t>
        </is>
      </c>
      <c r="C4" s="76" t="inlineStr">
        <is>
          <t>RF*GA35183M</t>
        </is>
      </c>
      <c r="D4" s="76" t="n">
        <v>82500</v>
      </c>
      <c r="E4" s="76" t="n">
        <v>0</v>
      </c>
      <c r="F4" s="76" t="n">
        <v>0</v>
      </c>
      <c r="G4" s="76" t="n">
        <v>0</v>
      </c>
    </row>
    <row r="5" ht="15" customHeight="1">
      <c r="A5" s="76" t="n">
        <v>3</v>
      </c>
      <c r="B5" s="76" t="inlineStr">
        <is>
          <t>T</t>
        </is>
      </c>
      <c r="C5" s="76" t="inlineStr">
        <is>
          <t>RF*GA35263M</t>
        </is>
      </c>
      <c r="D5" s="76" t="n">
        <v>69000</v>
      </c>
      <c r="E5" s="76" t="n">
        <v>0</v>
      </c>
      <c r="F5" s="76" t="n">
        <v>0</v>
      </c>
      <c r="G5" s="76" t="n">
        <v>0</v>
      </c>
    </row>
    <row r="6" ht="15" customHeight="1">
      <c r="A6" s="76" t="n">
        <v>4</v>
      </c>
      <c r="B6" s="76" t="inlineStr">
        <is>
          <t>T</t>
        </is>
      </c>
      <c r="C6" s="76" t="inlineStr">
        <is>
          <t>RF*PA35153M</t>
        </is>
      </c>
      <c r="D6" s="76" t="n">
        <v>8000</v>
      </c>
      <c r="E6" s="76" t="n">
        <v>0</v>
      </c>
      <c r="F6" s="76" t="n">
        <v>0</v>
      </c>
      <c r="G6" s="76" t="n">
        <v>0</v>
      </c>
    </row>
    <row r="7" ht="15" customHeight="1">
      <c r="A7" s="76" t="n">
        <v>5</v>
      </c>
      <c r="B7" s="76" t="inlineStr">
        <is>
          <t>V</t>
        </is>
      </c>
      <c r="C7" s="76" t="inlineStr">
        <is>
          <t>RF*GA35263M</t>
        </is>
      </c>
      <c r="D7" s="76" t="n">
        <v>41400</v>
      </c>
      <c r="E7" s="76" t="n">
        <v>0</v>
      </c>
      <c r="F7" s="76" t="n">
        <v>0</v>
      </c>
      <c r="G7" s="76" t="n">
        <v>0</v>
      </c>
    </row>
    <row r="8" ht="15" customHeight="1">
      <c r="A8" s="76" t="n">
        <v>6</v>
      </c>
      <c r="B8" s="76" t="inlineStr">
        <is>
          <t>V</t>
        </is>
      </c>
      <c r="C8" s="76" t="inlineStr">
        <is>
          <t>RF*PA35183M</t>
        </is>
      </c>
      <c r="D8" s="76" t="n">
        <v>25000</v>
      </c>
      <c r="E8" s="76" t="n">
        <v>0</v>
      </c>
      <c r="F8" s="76" t="n">
        <v>0</v>
      </c>
      <c r="G8" s="76" t="n">
        <v>0</v>
      </c>
    </row>
    <row r="9" ht="15" customHeight="1">
      <c r="A9" s="76" t="n">
        <v>7</v>
      </c>
      <c r="B9" s="76" t="inlineStr">
        <is>
          <t>V</t>
        </is>
      </c>
      <c r="C9" s="76" t="inlineStr">
        <is>
          <t>RF*PA35263M</t>
        </is>
      </c>
      <c r="D9" s="76" t="n">
        <v>27600</v>
      </c>
      <c r="E9" s="76" t="n">
        <v>0</v>
      </c>
      <c r="F9" s="76" t="n">
        <v>0</v>
      </c>
      <c r="G9" s="76" t="n">
        <v>0</v>
      </c>
    </row>
    <row r="10" ht="15" customHeight="1">
      <c r="A10" s="76" t="n">
        <v>8</v>
      </c>
      <c r="B10" s="76" t="inlineStr">
        <is>
          <t>V</t>
        </is>
      </c>
      <c r="C10" s="76" t="inlineStr">
        <is>
          <t>RF*PA35153M</t>
        </is>
      </c>
      <c r="D10" s="76" t="n">
        <v>10000</v>
      </c>
      <c r="E10" s="76" t="n">
        <v>0</v>
      </c>
      <c r="F10" s="76" t="n">
        <v>0</v>
      </c>
      <c r="G10" s="76" t="n">
        <v>0</v>
      </c>
    </row>
    <row r="11" ht="15" customHeight="1">
      <c r="A11" s="76" t="n">
        <v>9</v>
      </c>
      <c r="B11" s="76" t="inlineStr">
        <is>
          <t>V</t>
        </is>
      </c>
      <c r="C11" s="76" t="inlineStr">
        <is>
          <t>RF*GA25153M</t>
        </is>
      </c>
      <c r="D11" s="76" t="n">
        <v>3225</v>
      </c>
      <c r="E11" s="76" t="n">
        <v>0</v>
      </c>
      <c r="F11" s="76" t="n">
        <v>0</v>
      </c>
      <c r="G11" s="76" t="n">
        <v>0</v>
      </c>
    </row>
    <row r="12" ht="15" customHeight="1">
      <c r="A12" s="76" t="n">
        <v>10</v>
      </c>
      <c r="B12" s="76" t="inlineStr">
        <is>
          <t>V</t>
        </is>
      </c>
      <c r="C12" s="76" t="inlineStr">
        <is>
          <t>RF*GS35183M</t>
        </is>
      </c>
      <c r="D12" s="76" t="n">
        <v>12350</v>
      </c>
      <c r="E12" s="76" t="n">
        <v>0</v>
      </c>
      <c r="F12" s="76" t="n">
        <v>0</v>
      </c>
      <c r="G12" s="76" t="n">
        <v>0</v>
      </c>
    </row>
    <row r="13" ht="15" customHeight="1">
      <c r="A13" s="76" t="n">
        <v>11</v>
      </c>
      <c r="B13" s="76" t="inlineStr">
        <is>
          <t>V</t>
        </is>
      </c>
      <c r="C13" s="76" t="inlineStr">
        <is>
          <t>RF*PS35263M</t>
        </is>
      </c>
      <c r="D13" s="76" t="n">
        <v>7000</v>
      </c>
      <c r="E13" s="76" t="n">
        <v>0</v>
      </c>
      <c r="F13" s="76" t="n">
        <v>0</v>
      </c>
      <c r="G13" s="76" t="n">
        <v>0</v>
      </c>
    </row>
    <row r="14" ht="15" customHeight="1">
      <c r="A14" s="76" t="n">
        <v>12</v>
      </c>
      <c r="B14" s="76" t="inlineStr">
        <is>
          <t>V</t>
        </is>
      </c>
      <c r="C14" s="76" t="inlineStr">
        <is>
          <t>RF*GA25183M</t>
        </is>
      </c>
      <c r="D14" s="76" t="n">
        <v>1525</v>
      </c>
      <c r="E14" s="76" t="n">
        <v>0</v>
      </c>
      <c r="F14" s="76" t="n">
        <v>0</v>
      </c>
      <c r="G14" s="76" t="n">
        <v>0</v>
      </c>
    </row>
    <row r="15" ht="15" customHeight="1">
      <c r="A15" s="76" t="n">
        <v>13</v>
      </c>
      <c r="B15" s="76" t="inlineStr">
        <is>
          <t>V</t>
        </is>
      </c>
      <c r="C15" s="76" t="inlineStr">
        <is>
          <t>RF*GS35223M</t>
        </is>
      </c>
      <c r="D15" s="76" t="n">
        <v>525</v>
      </c>
      <c r="E15" s="76" t="n">
        <v>0</v>
      </c>
      <c r="F15" s="76" t="n">
        <v>0</v>
      </c>
      <c r="G15" s="76" t="n">
        <v>0</v>
      </c>
    </row>
    <row r="16" ht="15" customHeight="1">
      <c r="A16" s="76" t="n">
        <v>14</v>
      </c>
      <c r="B16" s="76" t="inlineStr">
        <is>
          <t>V</t>
        </is>
      </c>
      <c r="C16" s="76" t="inlineStr">
        <is>
          <t>RF*PS38153M</t>
        </is>
      </c>
      <c r="D16" s="76" t="n">
        <v>525</v>
      </c>
      <c r="E16" s="76" t="n">
        <v>0</v>
      </c>
      <c r="F16" s="76" t="n">
        <v>0</v>
      </c>
      <c r="G16" s="76" t="n">
        <v>0</v>
      </c>
    </row>
    <row r="17" ht="15" customHeight="1">
      <c r="A17" s="76" t="n">
        <v>15</v>
      </c>
      <c r="B17" s="76" t="inlineStr">
        <is>
          <t>V</t>
        </is>
      </c>
      <c r="C17" s="76" t="inlineStr">
        <is>
          <t>RF*GA18153M</t>
        </is>
      </c>
      <c r="D17" s="76" t="n">
        <v>3275</v>
      </c>
      <c r="E17" s="76" t="n">
        <v>0</v>
      </c>
      <c r="F17" s="76" t="n">
        <v>0</v>
      </c>
      <c r="G17" s="76" t="n">
        <v>0</v>
      </c>
    </row>
    <row r="18" ht="15" customHeight="1">
      <c r="A18" s="76" t="n">
        <v>16</v>
      </c>
      <c r="B18" s="76" t="inlineStr">
        <is>
          <t>V</t>
        </is>
      </c>
      <c r="C18" s="76" t="inlineStr">
        <is>
          <t>RF*GS18263M</t>
        </is>
      </c>
      <c r="D18" s="76" t="n">
        <v>225</v>
      </c>
      <c r="E18" s="76" t="n">
        <v>0</v>
      </c>
      <c r="F18" s="76" t="n">
        <v>0</v>
      </c>
      <c r="G18" s="76" t="n">
        <v>0</v>
      </c>
    </row>
    <row r="19" ht="15" customHeight="1">
      <c r="A19" s="76" t="n"/>
      <c r="B19" s="76" t="n"/>
      <c r="C19" s="76" t="n"/>
      <c r="D19" s="76" t="n"/>
      <c r="E19" s="76" t="n"/>
      <c r="F19" s="76" t="n"/>
      <c r="G19" s="76" t="n"/>
    </row>
    <row r="20" ht="15" customHeight="1">
      <c r="A20" s="76" t="n"/>
      <c r="B20" s="76" t="n"/>
      <c r="C20" s="76" t="n"/>
      <c r="D20" s="77" t="n"/>
      <c r="E20" s="76" t="n"/>
      <c r="F20" s="76" t="n"/>
      <c r="G20" s="76" t="n"/>
    </row>
    <row r="21" ht="15" customHeight="1">
      <c r="A21" s="76" t="n"/>
      <c r="B21" s="76" t="n"/>
      <c r="C21" s="76" t="n"/>
      <c r="D21" s="76" t="n"/>
      <c r="E21" s="76" t="n"/>
      <c r="F21" s="76" t="n"/>
      <c r="G21" s="76" t="n"/>
    </row>
    <row r="22" ht="15" customHeight="1">
      <c r="A22" s="76" t="n"/>
      <c r="B22" s="76" t="n"/>
      <c r="C22" s="76" t="n"/>
      <c r="D22" s="76" t="n"/>
      <c r="E22" s="76" t="n"/>
      <c r="F22" s="76" t="n"/>
      <c r="G22" s="76" t="n"/>
    </row>
    <row r="23" ht="15" customHeight="1">
      <c r="A23" s="76" t="n"/>
      <c r="B23" s="76" t="n"/>
      <c r="C23" s="76" t="n"/>
      <c r="D23" s="76" t="n"/>
      <c r="E23" s="76" t="n"/>
      <c r="F23" s="76" t="n"/>
      <c r="G23" s="76" t="n"/>
    </row>
    <row r="24" ht="15" customHeight="1">
      <c r="A24" s="76" t="n"/>
      <c r="B24" s="76" t="n"/>
      <c r="C24" s="76" t="n"/>
      <c r="D24" s="76" t="n"/>
      <c r="E24" s="76" t="n"/>
      <c r="F24" s="76" t="n"/>
      <c r="G24" s="76" t="n"/>
    </row>
    <row r="25" ht="15" customHeight="1">
      <c r="A25" s="76" t="n"/>
      <c r="B25" s="76" t="n"/>
      <c r="C25" s="76" t="n"/>
      <c r="D25" s="76" t="n"/>
      <c r="E25" s="76" t="n"/>
      <c r="F25" s="76" t="n"/>
      <c r="G25" s="76" t="n"/>
    </row>
    <row r="26" ht="15" customHeight="1">
      <c r="A26" s="76" t="n"/>
      <c r="B26" s="76" t="n"/>
      <c r="C26" s="76" t="n"/>
      <c r="D26" s="76" t="n"/>
      <c r="E26" s="76" t="n"/>
      <c r="F26" s="76" t="n"/>
      <c r="G26" s="76" t="n"/>
    </row>
    <row r="27" ht="15" customHeight="1">
      <c r="A27" s="76" t="n"/>
      <c r="B27" s="76" t="n"/>
      <c r="C27" s="76" t="n"/>
      <c r="D27" s="76" t="n"/>
      <c r="E27" s="76" t="n"/>
      <c r="F27" s="76" t="n"/>
      <c r="G27" s="76" t="n"/>
    </row>
    <row r="28" ht="15" customHeight="1">
      <c r="A28" s="76" t="n"/>
      <c r="B28" s="76" t="n"/>
      <c r="C28" s="76" t="n"/>
      <c r="D28" s="76" t="n"/>
      <c r="E28" s="76" t="n"/>
      <c r="F28" s="76" t="n"/>
      <c r="G28" s="76" t="n"/>
    </row>
    <row r="29" ht="15" customHeight="1">
      <c r="A29" s="76" t="n"/>
      <c r="B29" s="76" t="n"/>
      <c r="C29" s="76" t="n"/>
      <c r="D29" s="76" t="n"/>
      <c r="E29" s="76" t="n"/>
      <c r="F29" s="76" t="n"/>
      <c r="G29" s="76" t="n"/>
    </row>
    <row r="30" ht="15" customHeight="1">
      <c r="A30" s="76" t="n"/>
      <c r="B30" s="76" t="n"/>
      <c r="C30" s="76" t="n"/>
      <c r="D30" s="76" t="n"/>
      <c r="E30" s="76" t="n"/>
      <c r="F30" s="76" t="n"/>
      <c r="G30" s="76" t="n"/>
    </row>
    <row r="31" ht="15" customHeight="1">
      <c r="A31" s="76" t="n"/>
      <c r="B31" s="76" t="n"/>
      <c r="C31" s="76" t="n"/>
      <c r="D31" s="76" t="n"/>
      <c r="E31" s="76" t="n"/>
      <c r="F31" s="76" t="n"/>
      <c r="G31" s="76" t="n"/>
    </row>
    <row r="32" ht="15" customHeight="1">
      <c r="A32" s="76" t="n"/>
      <c r="B32" s="76" t="n"/>
      <c r="C32" s="76" t="n"/>
      <c r="D32" s="76" t="n"/>
      <c r="E32" s="76" t="n"/>
      <c r="F32" s="76" t="n"/>
      <c r="G32" s="76" t="n"/>
    </row>
    <row r="33" ht="15" customHeight="1">
      <c r="A33" s="76" t="n"/>
      <c r="B33" s="76" t="n"/>
      <c r="C33" s="76" t="n"/>
      <c r="D33" s="76" t="n"/>
      <c r="E33" s="76" t="n"/>
      <c r="F33" s="76" t="n"/>
      <c r="G33" s="76" t="n"/>
    </row>
    <row r="34" ht="15" customHeight="1">
      <c r="A34" s="76" t="n"/>
      <c r="B34" s="76" t="n"/>
      <c r="C34" s="76" t="n"/>
      <c r="D34" s="76" t="n"/>
      <c r="E34" s="76" t="n"/>
      <c r="F34" s="76" t="n"/>
      <c r="G34" s="76" t="n"/>
    </row>
    <row r="35" ht="15" customHeight="1">
      <c r="A35" s="76" t="n"/>
      <c r="B35" s="76" t="n"/>
      <c r="C35" s="76" t="n"/>
      <c r="D35" s="76" t="n"/>
      <c r="E35" s="76" t="n"/>
      <c r="F35" s="76" t="n"/>
      <c r="G35" s="76" t="n"/>
    </row>
    <row r="36" ht="15" customHeight="1">
      <c r="A36" s="76" t="n"/>
      <c r="B36" s="76" t="n"/>
      <c r="C36" s="76" t="n"/>
      <c r="D36" s="76" t="n"/>
      <c r="E36" s="76" t="n"/>
      <c r="F36" s="76" t="n"/>
      <c r="G36" s="76" t="n"/>
    </row>
    <row r="37" ht="15" customHeight="1">
      <c r="A37" s="76" t="n"/>
      <c r="B37" s="76" t="n"/>
      <c r="C37" s="76" t="n"/>
      <c r="D37" s="76" t="n"/>
      <c r="E37" s="76" t="n"/>
      <c r="F37" s="76" t="n"/>
      <c r="G37" s="76" t="n"/>
    </row>
    <row r="38" ht="16.5" customHeight="1">
      <c r="A38" s="76" t="n"/>
      <c r="B38" s="76" t="n"/>
      <c r="C38" s="76" t="n"/>
      <c r="D38" s="76" t="n"/>
      <c r="E38" s="76" t="n"/>
      <c r="F38" s="76" t="n"/>
      <c r="G38" s="76" t="n"/>
    </row>
    <row r="39" ht="16.5" customHeight="1">
      <c r="A39" s="76" t="n"/>
      <c r="B39" s="76" t="n"/>
      <c r="C39" s="76" t="n"/>
      <c r="D39" s="76" t="n"/>
      <c r="E39" s="76" t="n"/>
      <c r="F39" s="76" t="n"/>
      <c r="G39" s="76" t="n"/>
    </row>
    <row r="40" ht="15" customHeight="1">
      <c r="A40" s="76" t="n"/>
      <c r="B40" s="76" t="n"/>
      <c r="C40" s="76" t="n"/>
      <c r="D40" s="76" t="n"/>
      <c r="E40" s="76" t="n"/>
      <c r="F40" s="76" t="n"/>
      <c r="G40" s="76" t="n"/>
    </row>
    <row r="41" ht="15" customHeight="1">
      <c r="A41" s="76" t="n"/>
      <c r="B41" s="76" t="n"/>
      <c r="C41" s="76" t="n"/>
      <c r="D41" s="76" t="n"/>
      <c r="E41" s="76" t="n"/>
      <c r="F41" s="76" t="n"/>
      <c r="G41" s="76" t="n"/>
    </row>
    <row r="42" ht="15" customHeight="1">
      <c r="A42" s="76" t="n"/>
      <c r="B42" s="76" t="n"/>
      <c r="C42" s="76" t="n"/>
      <c r="D42" s="76" t="n"/>
      <c r="E42" s="76" t="n"/>
      <c r="F42" s="76" t="n"/>
      <c r="G42" s="76" t="n"/>
    </row>
    <row r="43" ht="15" customHeight="1">
      <c r="A43" s="76" t="n"/>
      <c r="B43" s="76" t="n"/>
      <c r="C43" s="76" t="n"/>
      <c r="D43" s="76" t="n"/>
      <c r="E43" s="76" t="n"/>
      <c r="F43" s="76" t="n"/>
      <c r="G43" s="76" t="n"/>
    </row>
    <row r="44" ht="15" customHeight="1">
      <c r="A44" s="76" t="n"/>
      <c r="B44" s="76" t="n"/>
      <c r="C44" s="76" t="n"/>
      <c r="D44" s="76" t="n"/>
      <c r="E44" s="76" t="n"/>
      <c r="F44" s="76" t="n"/>
      <c r="G44" s="76" t="n"/>
    </row>
    <row r="45" ht="15" customHeight="1">
      <c r="A45" s="76" t="n"/>
      <c r="B45" s="76" t="n"/>
      <c r="C45" s="76" t="n"/>
      <c r="D45" s="76" t="n"/>
      <c r="E45" s="76" t="n"/>
      <c r="F45" s="76" t="n"/>
      <c r="G45" s="76" t="n"/>
    </row>
    <row r="46" ht="15" customHeight="1">
      <c r="A46" s="76" t="n"/>
      <c r="B46" s="76" t="n"/>
      <c r="C46" s="76" t="n"/>
      <c r="D46" s="76" t="n"/>
      <c r="E46" s="76" t="n"/>
      <c r="F46" s="76" t="n"/>
      <c r="G46" s="76" t="n"/>
    </row>
    <row r="47" ht="15" customHeight="1">
      <c r="A47" s="76" t="n"/>
      <c r="B47" s="76" t="n"/>
      <c r="C47" s="76" t="n"/>
      <c r="D47" s="76" t="n"/>
      <c r="E47" s="76" t="n"/>
      <c r="F47" s="76" t="n"/>
      <c r="G47" s="76" t="n"/>
    </row>
    <row r="48" ht="15" customHeight="1">
      <c r="A48" s="76" t="n"/>
      <c r="B48" s="76" t="n"/>
      <c r="C48" s="76" t="n"/>
      <c r="D48" s="76" t="n"/>
      <c r="E48" s="76" t="n"/>
      <c r="F48" s="76" t="n"/>
      <c r="G48" s="76" t="n"/>
    </row>
    <row r="49" ht="15" customHeight="1">
      <c r="A49" s="76" t="n"/>
      <c r="B49" s="76" t="n"/>
      <c r="C49" s="76" t="n"/>
      <c r="D49" s="76" t="n"/>
      <c r="E49" s="76" t="n"/>
      <c r="F49" s="76" t="n"/>
      <c r="G49" s="76" t="n"/>
    </row>
    <row r="50" ht="15" customHeight="1">
      <c r="A50" s="76" t="n"/>
      <c r="B50" s="76" t="n"/>
      <c r="C50" s="76" t="n"/>
      <c r="D50" s="76" t="n"/>
      <c r="E50" s="76" t="n"/>
      <c r="F50" s="76" t="n"/>
      <c r="G50" s="76" t="n"/>
    </row>
    <row r="51" ht="15" customHeight="1">
      <c r="A51" s="76" t="n"/>
      <c r="B51" s="76" t="n"/>
      <c r="C51" s="76" t="n"/>
      <c r="D51" s="76" t="n"/>
      <c r="E51" s="76" t="n"/>
      <c r="F51" s="76" t="n"/>
      <c r="G51" s="76" t="n"/>
    </row>
    <row r="52" ht="15" customHeight="1">
      <c r="A52" s="76" t="n"/>
      <c r="B52" s="76" t="n"/>
      <c r="C52" s="76" t="n"/>
      <c r="D52" s="76" t="n"/>
      <c r="E52" s="76" t="n"/>
      <c r="F52" s="76" t="n"/>
      <c r="G52" s="76" t="n"/>
    </row>
    <row r="53" ht="15" customHeight="1">
      <c r="A53" s="76" t="n"/>
      <c r="B53" s="76" t="n"/>
      <c r="C53" s="76" t="n"/>
      <c r="D53" s="76" t="n"/>
      <c r="E53" s="76" t="n"/>
      <c r="F53" s="76" t="n"/>
      <c r="G53" s="76" t="n"/>
    </row>
    <row r="54" ht="15" customHeight="1">
      <c r="A54" s="76" t="n"/>
      <c r="B54" s="76" t="n"/>
      <c r="C54" s="76" t="n"/>
      <c r="D54" s="76" t="n"/>
      <c r="E54" s="76" t="n"/>
      <c r="F54" s="76" t="n"/>
      <c r="G54" s="76" t="n"/>
    </row>
    <row r="55" ht="15" customHeight="1">
      <c r="A55" s="76" t="n"/>
      <c r="B55" s="76" t="n"/>
      <c r="C55" s="76" t="n"/>
      <c r="D55" s="76" t="n"/>
      <c r="E55" s="76" t="n"/>
      <c r="F55" s="76" t="n"/>
      <c r="G55" s="76" t="n"/>
    </row>
    <row r="56" ht="15" customHeight="1">
      <c r="A56" s="76" t="n"/>
      <c r="B56" s="76" t="n"/>
      <c r="C56" s="76" t="n"/>
      <c r="D56" s="76" t="n"/>
      <c r="E56" s="76" t="n"/>
      <c r="F56" s="76" t="n"/>
      <c r="G56" s="76" t="n"/>
    </row>
    <row r="57" ht="15" customHeight="1">
      <c r="A57" s="76" t="n"/>
      <c r="B57" s="76" t="n"/>
      <c r="C57" s="76" t="n"/>
      <c r="D57" s="76" t="n"/>
      <c r="E57" s="76" t="n"/>
      <c r="F57" s="76" t="n"/>
      <c r="G57" s="76" t="n"/>
    </row>
    <row r="58" ht="15" customHeight="1">
      <c r="A58" s="76" t="n"/>
      <c r="B58" s="76" t="n"/>
      <c r="C58" s="76" t="n"/>
      <c r="D58" s="76" t="n"/>
      <c r="E58" s="76" t="n"/>
      <c r="F58" s="76" t="n"/>
      <c r="G58" s="76" t="n"/>
    </row>
    <row r="59" ht="15" customHeight="1">
      <c r="A59" s="76" t="n"/>
      <c r="B59" s="76" t="n"/>
      <c r="C59" s="76" t="n"/>
      <c r="D59" s="76" t="n"/>
      <c r="E59" s="76" t="n"/>
      <c r="F59" s="76" t="n"/>
      <c r="G59" s="76" t="n"/>
    </row>
    <row r="60" ht="15" customHeight="1">
      <c r="A60" s="76" t="n"/>
      <c r="B60" s="76" t="n"/>
      <c r="C60" s="76" t="n"/>
      <c r="D60" s="76" t="n"/>
      <c r="E60" s="76" t="n"/>
      <c r="F60" s="76" t="n"/>
      <c r="G60" s="76" t="n"/>
    </row>
    <row r="61" ht="15" customHeight="1">
      <c r="A61" s="76" t="n"/>
      <c r="B61" s="76" t="n"/>
      <c r="C61" s="76" t="n"/>
      <c r="D61" s="76" t="n"/>
      <c r="E61" s="76" t="n"/>
      <c r="F61" s="76" t="n"/>
      <c r="G61" s="76" t="n"/>
    </row>
    <row r="62" ht="15" customHeight="1">
      <c r="A62" s="76" t="n"/>
      <c r="B62" s="76" t="n"/>
      <c r="C62" s="76" t="n"/>
      <c r="D62" s="76" t="n"/>
      <c r="E62" s="76" t="n"/>
      <c r="F62" s="76" t="n"/>
      <c r="G62" s="76" t="n"/>
    </row>
    <row r="63" ht="15" customHeight="1">
      <c r="A63" s="76" t="n"/>
      <c r="B63" s="76" t="n"/>
      <c r="C63" s="76" t="n"/>
      <c r="D63" s="76" t="n"/>
      <c r="E63" s="76" t="n"/>
      <c r="F63" s="76" t="n"/>
      <c r="G63" s="76" t="n"/>
    </row>
    <row r="64" ht="15" customHeight="1">
      <c r="A64" s="76" t="n"/>
      <c r="B64" s="76" t="n"/>
      <c r="C64" s="76" t="n"/>
      <c r="D64" s="76" t="n"/>
      <c r="E64" s="76" t="n"/>
      <c r="F64" s="76" t="n"/>
      <c r="G64" s="76" t="n"/>
    </row>
    <row r="65" ht="15" customHeight="1">
      <c r="A65" s="76" t="n"/>
      <c r="B65" s="76" t="n"/>
      <c r="C65" s="76" t="n"/>
      <c r="D65" s="76" t="n"/>
      <c r="E65" s="76" t="n"/>
      <c r="F65" s="76" t="n"/>
      <c r="G65" s="76" t="n"/>
    </row>
    <row r="66" ht="15" customHeight="1">
      <c r="A66" s="76" t="n"/>
      <c r="B66" s="76" t="n"/>
      <c r="C66" s="76" t="n"/>
      <c r="D66" s="76" t="n"/>
      <c r="E66" s="76" t="n"/>
      <c r="F66" s="76" t="n"/>
      <c r="G66" s="76" t="n"/>
    </row>
    <row r="67" ht="15" customHeight="1">
      <c r="A67" s="76" t="n"/>
      <c r="B67" s="76" t="n"/>
      <c r="C67" s="76" t="n"/>
      <c r="D67" s="76" t="n"/>
      <c r="E67" s="76" t="n"/>
      <c r="F67" s="76" t="n"/>
      <c r="G67" s="76" t="n"/>
    </row>
    <row r="68" ht="15" customHeight="1">
      <c r="A68" s="76" t="n"/>
      <c r="B68" s="76" t="n"/>
      <c r="C68" s="76" t="n"/>
      <c r="D68" s="76" t="n"/>
      <c r="E68" s="76" t="n"/>
      <c r="F68" s="76" t="n"/>
      <c r="G68" s="76" t="n"/>
    </row>
    <row r="69" ht="15" customHeight="1">
      <c r="A69" s="76" t="n"/>
      <c r="B69" s="76" t="n"/>
      <c r="C69" s="76" t="n"/>
      <c r="D69" s="76" t="n"/>
      <c r="E69" s="76" t="n"/>
      <c r="F69" s="76" t="n"/>
      <c r="G69" s="76" t="n"/>
    </row>
    <row r="70" ht="15" customHeight="1">
      <c r="A70" s="76" t="n"/>
      <c r="B70" s="76" t="n"/>
      <c r="C70" s="76" t="n"/>
      <c r="D70" s="76" t="n"/>
      <c r="E70" s="76" t="n"/>
      <c r="F70" s="76" t="n"/>
      <c r="G70" s="76" t="n"/>
    </row>
    <row r="71" ht="15" customHeight="1">
      <c r="A71" s="76" t="n"/>
      <c r="B71" s="76" t="n"/>
      <c r="C71" s="76" t="n"/>
      <c r="D71" s="76" t="n"/>
      <c r="E71" s="76" t="n"/>
      <c r="F71" s="76" t="n"/>
      <c r="G71" s="76" t="n"/>
    </row>
    <row r="72" ht="15" customHeight="1">
      <c r="A72" s="76" t="n"/>
      <c r="B72" s="76" t="n"/>
      <c r="C72" s="76" t="n"/>
      <c r="D72" s="76" t="n"/>
      <c r="E72" s="76" t="n"/>
      <c r="F72" s="76" t="n"/>
      <c r="G72" s="76" t="n"/>
    </row>
    <row r="73" ht="15" customHeight="1">
      <c r="A73" s="76" t="n"/>
      <c r="B73" s="76" t="n"/>
      <c r="C73" s="76" t="n"/>
      <c r="D73" s="76" t="n"/>
      <c r="E73" s="76" t="n"/>
      <c r="F73" s="76" t="n"/>
      <c r="G73" s="76" t="n"/>
    </row>
    <row r="74" ht="15" customHeight="1">
      <c r="A74" s="76" t="n"/>
      <c r="B74" s="76" t="n"/>
      <c r="C74" s="76" t="n"/>
      <c r="D74" s="76" t="n"/>
      <c r="E74" s="76" t="n"/>
      <c r="F74" s="76" t="n"/>
      <c r="G74" s="76" t="n"/>
    </row>
    <row r="75" ht="15" customHeight="1">
      <c r="A75" s="76" t="n"/>
      <c r="B75" s="76" t="n"/>
      <c r="C75" s="76" t="n"/>
      <c r="D75" s="76" t="n"/>
      <c r="E75" s="76" t="n"/>
      <c r="F75" s="76" t="n"/>
      <c r="G75" s="76" t="n"/>
    </row>
    <row r="76" ht="15" customHeight="1">
      <c r="A76" s="76" t="n"/>
      <c r="B76" s="76" t="n"/>
      <c r="C76" s="76" t="n"/>
      <c r="D76" s="76" t="n"/>
      <c r="E76" s="76" t="n"/>
      <c r="F76" s="76" t="n"/>
      <c r="G76" s="76" t="n"/>
    </row>
    <row r="77" ht="15" customHeight="1">
      <c r="A77" s="76" t="n"/>
      <c r="B77" s="76" t="n"/>
      <c r="C77" s="76" t="n"/>
      <c r="D77" s="76" t="n"/>
      <c r="E77" s="76" t="n"/>
      <c r="F77" s="76" t="n"/>
      <c r="G77" s="76" t="n"/>
    </row>
    <row r="78" ht="15" customHeight="1">
      <c r="A78" s="76" t="n"/>
      <c r="B78" s="76" t="n"/>
      <c r="C78" s="76" t="n"/>
      <c r="D78" s="76" t="n"/>
      <c r="E78" s="76" t="n"/>
      <c r="F78" s="76" t="n"/>
      <c r="G78" s="76" t="n"/>
    </row>
    <row r="79" ht="15" customHeight="1">
      <c r="A79" s="76" t="n"/>
      <c r="B79" s="76" t="n"/>
      <c r="C79" s="76" t="n"/>
      <c r="D79" s="76" t="n"/>
      <c r="E79" s="76" t="n"/>
      <c r="F79" s="76" t="n"/>
      <c r="G79" s="76" t="n"/>
    </row>
    <row r="80" ht="15" customHeight="1">
      <c r="A80" s="76" t="n"/>
      <c r="B80" s="76" t="n"/>
      <c r="C80" s="76" t="n"/>
      <c r="D80" s="76" t="n"/>
      <c r="E80" s="76" t="n"/>
      <c r="F80" s="76" t="n"/>
      <c r="G80" s="76" t="n"/>
    </row>
    <row r="81" ht="15" customHeight="1">
      <c r="A81" s="76" t="n"/>
      <c r="B81" s="76" t="n"/>
      <c r="C81" s="76" t="n"/>
      <c r="D81" s="76" t="n"/>
      <c r="E81" s="76" t="n"/>
      <c r="F81" s="76" t="n"/>
      <c r="G81" s="76" t="n"/>
    </row>
    <row r="82" ht="15" customHeight="1">
      <c r="A82" s="76" t="n"/>
      <c r="B82" s="76" t="n"/>
      <c r="C82" s="76" t="n"/>
      <c r="D82" s="76" t="n"/>
      <c r="E82" s="76" t="n"/>
      <c r="F82" s="76" t="n"/>
      <c r="G82" s="76" t="n"/>
    </row>
    <row r="83" ht="15" customHeight="1">
      <c r="A83" s="76" t="n"/>
      <c r="B83" s="76" t="n"/>
      <c r="C83" s="76" t="n"/>
      <c r="D83" s="76" t="n"/>
      <c r="E83" s="76" t="n"/>
      <c r="F83" s="76" t="n"/>
      <c r="G83" s="76" t="n"/>
    </row>
    <row r="84" ht="15" customHeight="1">
      <c r="A84" s="76" t="n"/>
      <c r="B84" s="76" t="n"/>
      <c r="C84" s="76" t="n"/>
      <c r="D84" s="76" t="n"/>
      <c r="E84" s="76" t="n"/>
      <c r="F84" s="76" t="n"/>
      <c r="G84" s="76" t="n"/>
    </row>
    <row r="85" ht="15" customHeight="1">
      <c r="A85" s="76" t="n"/>
      <c r="B85" s="76" t="n"/>
      <c r="C85" s="76" t="n"/>
      <c r="D85" s="76" t="n"/>
      <c r="E85" s="76" t="n"/>
      <c r="F85" s="76" t="n"/>
      <c r="G85" s="76" t="n"/>
    </row>
    <row r="86" ht="15" customHeight="1">
      <c r="A86" s="76" t="n"/>
      <c r="B86" s="76" t="n"/>
      <c r="C86" s="76" t="n"/>
      <c r="D86" s="76" t="n"/>
      <c r="E86" s="76" t="n"/>
      <c r="F86" s="76" t="n"/>
      <c r="G86" s="76" t="n"/>
    </row>
    <row r="87" ht="15" customHeight="1">
      <c r="A87" s="76" t="n"/>
      <c r="B87" s="76" t="n"/>
      <c r="C87" s="76" t="n"/>
      <c r="D87" s="76" t="n"/>
      <c r="E87" s="76" t="n"/>
      <c r="F87" s="76" t="n"/>
      <c r="G87" s="76" t="n"/>
    </row>
    <row r="88" ht="15" customHeight="1">
      <c r="A88" s="76" t="n"/>
      <c r="B88" s="76" t="n"/>
      <c r="C88" s="76" t="n"/>
      <c r="D88" s="76" t="n"/>
      <c r="E88" s="76" t="n"/>
      <c r="F88" s="76" t="n"/>
      <c r="G88" s="76" t="n"/>
    </row>
    <row r="89" ht="15" customHeight="1">
      <c r="A89" s="76" t="n"/>
      <c r="B89" s="76" t="n"/>
      <c r="C89" s="76" t="n"/>
      <c r="D89" s="76" t="n"/>
      <c r="E89" s="76" t="n"/>
      <c r="F89" s="76" t="n"/>
      <c r="G89" s="76" t="n"/>
    </row>
    <row r="90" ht="15" customHeight="1">
      <c r="A90" s="76" t="n"/>
      <c r="B90" s="76" t="n"/>
      <c r="C90" s="76" t="n"/>
      <c r="D90" s="76" t="n"/>
      <c r="E90" s="76" t="n"/>
      <c r="F90" s="76" t="n"/>
      <c r="G90" s="76" t="n"/>
    </row>
    <row r="91" ht="15" customHeight="1">
      <c r="A91" s="76" t="n"/>
      <c r="B91" s="76" t="n"/>
      <c r="C91" s="76" t="n"/>
      <c r="D91" s="76" t="n"/>
      <c r="E91" s="76" t="n"/>
      <c r="F91" s="76" t="n"/>
      <c r="G91" s="76" t="n"/>
    </row>
    <row r="92" ht="15" customHeight="1">
      <c r="A92" s="76" t="n"/>
      <c r="B92" s="76" t="n"/>
      <c r="C92" s="76" t="n"/>
      <c r="D92" s="76" t="n"/>
      <c r="E92" s="76" t="n"/>
      <c r="F92" s="76" t="n"/>
      <c r="G92" s="76" t="n"/>
    </row>
    <row r="93" ht="15" customHeight="1">
      <c r="A93" s="76" t="n"/>
      <c r="B93" s="76" t="n"/>
      <c r="C93" s="76" t="n"/>
      <c r="D93" s="76" t="n"/>
      <c r="E93" s="76" t="n"/>
      <c r="F93" s="76" t="n"/>
      <c r="G93" s="76" t="n"/>
    </row>
    <row r="94" ht="15" customHeight="1">
      <c r="A94" s="76" t="n"/>
      <c r="B94" s="76" t="n"/>
      <c r="C94" s="76" t="n"/>
      <c r="D94" s="76" t="n"/>
      <c r="E94" s="76" t="n"/>
      <c r="F94" s="76" t="n"/>
      <c r="G94" s="76" t="n"/>
    </row>
    <row r="95" ht="15" customHeight="1">
      <c r="A95" s="76" t="n"/>
      <c r="B95" s="76" t="n"/>
      <c r="C95" s="76" t="n"/>
      <c r="D95" s="76" t="n"/>
      <c r="E95" s="76" t="n"/>
      <c r="F95" s="76" t="n"/>
      <c r="G95" s="76" t="n"/>
    </row>
    <row r="96" ht="15" customHeight="1">
      <c r="A96" s="76" t="n"/>
      <c r="B96" s="76" t="n"/>
      <c r="C96" s="76" t="n"/>
      <c r="D96" s="76" t="n"/>
      <c r="E96" s="76" t="n"/>
      <c r="F96" s="76" t="n"/>
      <c r="G96" s="76" t="n"/>
    </row>
    <row r="97" ht="15" customHeight="1">
      <c r="A97" s="76" t="n"/>
      <c r="B97" s="76" t="n"/>
      <c r="C97" s="76" t="n"/>
      <c r="D97" s="76" t="n"/>
      <c r="E97" s="76" t="n"/>
      <c r="F97" s="76" t="n"/>
      <c r="G97" s="76" t="n"/>
    </row>
    <row r="98" ht="15" customHeight="1">
      <c r="A98" s="76" t="n"/>
      <c r="B98" s="76" t="n"/>
      <c r="C98" s="76" t="n"/>
      <c r="D98" s="76" t="n"/>
      <c r="E98" s="76" t="n"/>
      <c r="F98" s="76" t="n"/>
      <c r="G98" s="76" t="n"/>
    </row>
    <row r="99" ht="15" customHeight="1">
      <c r="A99" s="76" t="n"/>
      <c r="B99" s="76" t="n"/>
      <c r="C99" s="76" t="n"/>
      <c r="D99" s="76" t="n"/>
      <c r="E99" s="76" t="n"/>
      <c r="F99" s="76" t="n"/>
      <c r="G99" s="76" t="n"/>
    </row>
    <row r="100" ht="15" customHeight="1">
      <c r="A100" s="76" t="n"/>
      <c r="B100" s="76" t="n"/>
      <c r="C100" s="76" t="n"/>
      <c r="D100" s="76" t="n"/>
      <c r="E100" s="76" t="n"/>
      <c r="F100" s="76" t="n"/>
      <c r="G100" s="76" t="n"/>
    </row>
    <row r="101" ht="15" customHeight="1">
      <c r="A101" s="76" t="n"/>
      <c r="B101" s="76" t="n"/>
      <c r="C101" s="76" t="n"/>
      <c r="D101" s="76" t="n"/>
      <c r="E101" s="76" t="n"/>
      <c r="F101" s="76" t="n"/>
      <c r="G101" s="76" t="n"/>
    </row>
    <row r="102" ht="15" customHeight="1">
      <c r="A102" s="76" t="n"/>
      <c r="B102" s="76" t="n"/>
      <c r="C102" s="76" t="n"/>
      <c r="D102" s="76" t="n"/>
      <c r="E102" s="76" t="n"/>
      <c r="F102" s="76" t="n"/>
      <c r="G102" s="76" t="n"/>
    </row>
    <row r="103" ht="15" customHeight="1">
      <c r="A103" s="76" t="n"/>
      <c r="B103" s="76" t="n"/>
      <c r="C103" s="76" t="n"/>
      <c r="D103" s="76" t="n"/>
      <c r="E103" s="76" t="n"/>
      <c r="F103" s="76" t="n"/>
      <c r="G103" s="76" t="n"/>
    </row>
    <row r="104" ht="15" customHeight="1">
      <c r="A104" s="76" t="n"/>
      <c r="B104" s="76" t="n"/>
      <c r="C104" s="76" t="n"/>
      <c r="D104" s="76" t="n"/>
      <c r="E104" s="76" t="n"/>
      <c r="F104" s="76" t="n"/>
      <c r="G104" s="76" t="n"/>
    </row>
    <row r="105" ht="15" customHeight="1">
      <c r="A105" s="76" t="n"/>
      <c r="B105" s="76" t="n"/>
      <c r="C105" s="76" t="n"/>
      <c r="D105" s="76" t="n"/>
      <c r="E105" s="76" t="n"/>
      <c r="F105" s="76" t="n"/>
      <c r="G105" s="76" t="n"/>
    </row>
    <row r="106" ht="15" customHeight="1">
      <c r="A106" s="76" t="n"/>
      <c r="B106" s="76" t="n"/>
      <c r="C106" s="76" t="n"/>
      <c r="D106" s="76" t="n"/>
      <c r="E106" s="76" t="n"/>
      <c r="F106" s="76" t="n"/>
      <c r="G106" s="76" t="n"/>
    </row>
    <row r="107" ht="15" customHeight="1">
      <c r="A107" s="76" t="n"/>
      <c r="B107" s="76" t="n"/>
      <c r="C107" s="76" t="n"/>
      <c r="D107" s="76" t="n"/>
      <c r="E107" s="76" t="n"/>
      <c r="F107" s="76" t="n"/>
      <c r="G107" s="76" t="n"/>
    </row>
    <row r="108" ht="15" customHeight="1">
      <c r="A108" s="76" t="n"/>
      <c r="B108" s="76" t="n"/>
      <c r="C108" s="76" t="n"/>
      <c r="D108" s="76" t="n"/>
      <c r="E108" s="76" t="n"/>
      <c r="F108" s="76" t="n"/>
      <c r="G108" s="76" t="n"/>
    </row>
    <row r="109" ht="15" customHeight="1">
      <c r="A109" s="76" t="n"/>
      <c r="B109" s="76" t="n"/>
      <c r="C109" s="76" t="n"/>
      <c r="D109" s="76" t="n"/>
      <c r="E109" s="76" t="n"/>
      <c r="F109" s="76" t="n"/>
      <c r="G109" s="76" t="n"/>
    </row>
    <row r="110" ht="15" customHeight="1">
      <c r="A110" s="76" t="n"/>
      <c r="B110" s="76" t="n"/>
      <c r="C110" s="76" t="n"/>
      <c r="D110" s="76" t="n"/>
      <c r="E110" s="76" t="n"/>
      <c r="F110" s="76" t="n"/>
      <c r="G110" s="76" t="n"/>
    </row>
    <row r="111" ht="15" customHeight="1">
      <c r="A111" s="76" t="n"/>
      <c r="B111" s="76" t="n"/>
      <c r="C111" s="76" t="n"/>
      <c r="D111" s="76" t="n"/>
      <c r="E111" s="76" t="n"/>
      <c r="F111" s="76" t="n"/>
      <c r="G111" s="76" t="n"/>
    </row>
    <row r="112" ht="15" customHeight="1">
      <c r="A112" s="76" t="n"/>
      <c r="B112" s="76" t="n"/>
      <c r="C112" s="76" t="n"/>
      <c r="D112" s="76" t="n"/>
      <c r="E112" s="76" t="n"/>
      <c r="F112" s="76" t="n"/>
      <c r="G112" s="76" t="n"/>
    </row>
    <row r="113" ht="15" customHeight="1">
      <c r="A113" s="76" t="n"/>
      <c r="B113" s="76" t="n"/>
      <c r="C113" s="76" t="n"/>
      <c r="D113" s="76" t="n"/>
      <c r="E113" s="76" t="n"/>
      <c r="F113" s="76" t="n"/>
      <c r="G113" s="76" t="n"/>
    </row>
    <row r="114" ht="15" customHeight="1">
      <c r="A114" s="76" t="n"/>
      <c r="B114" s="76" t="n"/>
      <c r="C114" s="76" t="n"/>
      <c r="D114" s="76" t="n"/>
      <c r="E114" s="76" t="n"/>
      <c r="F114" s="76" t="n"/>
      <c r="G114" s="76" t="n"/>
    </row>
    <row r="115" ht="15" customHeight="1">
      <c r="A115" s="76" t="n"/>
      <c r="B115" s="76" t="n"/>
      <c r="C115" s="76" t="n"/>
      <c r="D115" s="76" t="n"/>
      <c r="E115" s="76" t="n"/>
      <c r="F115" s="76" t="n"/>
      <c r="G115" s="76" t="n"/>
    </row>
    <row r="116" ht="15" customHeight="1">
      <c r="A116" s="76" t="n"/>
      <c r="B116" s="76" t="n"/>
      <c r="C116" s="76" t="n"/>
      <c r="D116" s="76" t="n"/>
      <c r="E116" s="76" t="n"/>
      <c r="F116" s="76" t="n"/>
      <c r="G116" s="76" t="n"/>
    </row>
    <row r="117" ht="15" customHeight="1">
      <c r="A117" s="76" t="n"/>
      <c r="B117" s="76" t="n"/>
      <c r="C117" s="76" t="n"/>
      <c r="D117" s="76" t="n"/>
      <c r="E117" s="76" t="n"/>
      <c r="F117" s="76" t="n"/>
      <c r="G117" s="76" t="n"/>
    </row>
    <row r="118" ht="15" customHeight="1">
      <c r="A118" s="76" t="n"/>
      <c r="B118" s="76" t="n"/>
      <c r="C118" s="76" t="n"/>
      <c r="D118" s="76" t="n"/>
      <c r="E118" s="76" t="n"/>
      <c r="F118" s="76" t="n"/>
      <c r="G118" s="76" t="n"/>
    </row>
    <row r="119" ht="15" customHeight="1">
      <c r="A119" s="76" t="n"/>
      <c r="B119" s="76" t="n"/>
      <c r="C119" s="76" t="n"/>
      <c r="D119" s="76" t="n"/>
      <c r="E119" s="76" t="n"/>
      <c r="F119" s="76" t="n"/>
      <c r="G119" s="76" t="n"/>
    </row>
    <row r="120" ht="15" customHeight="1">
      <c r="A120" s="76" t="n"/>
      <c r="B120" s="76" t="n"/>
      <c r="C120" s="76" t="n"/>
      <c r="D120" s="76" t="n"/>
      <c r="E120" s="76" t="n"/>
      <c r="F120" s="76" t="n"/>
      <c r="G120" s="76" t="n"/>
    </row>
    <row r="121" ht="15" customHeight="1">
      <c r="A121" s="76" t="n"/>
      <c r="B121" s="76" t="n"/>
      <c r="C121" s="76" t="n"/>
      <c r="D121" s="76" t="n"/>
      <c r="E121" s="76" t="n"/>
      <c r="F121" s="76" t="n"/>
      <c r="G121" s="76" t="n"/>
    </row>
    <row r="122" ht="15" customHeight="1">
      <c r="A122" s="76" t="n"/>
      <c r="B122" s="76" t="n"/>
      <c r="C122" s="76" t="n"/>
      <c r="D122" s="76" t="n"/>
      <c r="E122" s="76" t="n"/>
      <c r="F122" s="76" t="n"/>
      <c r="G122" s="76" t="n"/>
    </row>
    <row r="123" ht="15" customHeight="1">
      <c r="A123" s="76" t="n"/>
      <c r="B123" s="76" t="n"/>
      <c r="C123" s="76" t="n"/>
      <c r="D123" s="76" t="n"/>
      <c r="E123" s="76" t="n"/>
      <c r="F123" s="76" t="n"/>
      <c r="G123" s="76" t="n"/>
    </row>
    <row r="124" ht="15" customHeight="1">
      <c r="A124" s="76" t="n"/>
      <c r="B124" s="76" t="n"/>
      <c r="C124" s="76" t="n"/>
      <c r="D124" s="76" t="n"/>
      <c r="E124" s="76" t="n"/>
      <c r="F124" s="76" t="n"/>
      <c r="G124" s="76" t="n"/>
    </row>
    <row r="125" ht="15" customHeight="1">
      <c r="A125" s="76" t="n"/>
      <c r="B125" s="76" t="n"/>
      <c r="C125" s="76" t="n"/>
      <c r="D125" s="76" t="n"/>
      <c r="E125" s="76" t="n"/>
      <c r="F125" s="76" t="n"/>
      <c r="G125" s="76" t="n"/>
    </row>
    <row r="126" ht="15" customHeight="1">
      <c r="A126" s="76" t="n"/>
      <c r="B126" s="76" t="n"/>
      <c r="C126" s="76" t="n"/>
      <c r="D126" s="76" t="n"/>
      <c r="E126" s="76" t="n"/>
      <c r="F126" s="76" t="n"/>
      <c r="G126" s="76" t="n"/>
    </row>
    <row r="127" ht="15" customHeight="1">
      <c r="A127" s="76" t="n"/>
      <c r="B127" s="76" t="n"/>
      <c r="C127" s="76" t="n"/>
      <c r="D127" s="76" t="n"/>
      <c r="E127" s="76" t="n"/>
      <c r="F127" s="76" t="n"/>
      <c r="G127" s="76" t="n"/>
    </row>
    <row r="128" ht="15" customHeight="1">
      <c r="A128" s="76" t="n"/>
      <c r="B128" s="76" t="n"/>
      <c r="C128" s="76" t="n"/>
      <c r="D128" s="76" t="n"/>
      <c r="E128" s="76" t="n"/>
      <c r="F128" s="76" t="n"/>
      <c r="G128" s="76" t="n"/>
    </row>
    <row r="129" ht="15" customHeight="1">
      <c r="A129" s="76" t="n"/>
      <c r="B129" s="76" t="n"/>
      <c r="C129" s="76" t="n"/>
      <c r="D129" s="76" t="n"/>
      <c r="E129" s="76" t="n"/>
      <c r="F129" s="76" t="n"/>
      <c r="G129" s="76" t="n"/>
    </row>
    <row r="130" ht="15" customHeight="1">
      <c r="A130" s="76" t="n"/>
      <c r="B130" s="76" t="n"/>
      <c r="C130" s="76" t="n"/>
      <c r="D130" s="76" t="n"/>
      <c r="E130" s="76" t="n"/>
      <c r="F130" s="76" t="n"/>
      <c r="G130" s="76" t="n"/>
    </row>
    <row r="131" ht="15" customHeight="1">
      <c r="A131" s="76" t="n"/>
      <c r="B131" s="76" t="n"/>
      <c r="C131" s="76" t="n"/>
      <c r="D131" s="76" t="n"/>
      <c r="E131" s="76" t="n"/>
      <c r="F131" s="76" t="n"/>
      <c r="G131" s="76" t="n"/>
    </row>
    <row r="132" ht="15" customHeight="1">
      <c r="A132" s="76" t="n"/>
      <c r="B132" s="76" t="n"/>
      <c r="C132" s="76" t="n"/>
      <c r="D132" s="76" t="n"/>
      <c r="E132" s="76" t="n"/>
      <c r="F132" s="76" t="n"/>
      <c r="G132" s="76" t="n"/>
    </row>
    <row r="133" ht="15" customHeight="1">
      <c r="A133" s="76" t="n"/>
      <c r="B133" s="76" t="n"/>
      <c r="C133" s="76" t="n"/>
      <c r="D133" s="76" t="n"/>
      <c r="E133" s="76" t="n"/>
      <c r="F133" s="76" t="n"/>
      <c r="G133" s="76" t="n"/>
    </row>
    <row r="134" ht="15" customHeight="1">
      <c r="A134" s="76" t="n"/>
      <c r="B134" s="76" t="n"/>
      <c r="C134" s="76" t="n"/>
      <c r="D134" s="76" t="n"/>
      <c r="E134" s="76" t="n"/>
      <c r="F134" s="76" t="n"/>
      <c r="G134" s="76" t="n"/>
    </row>
    <row r="135" ht="15" customHeight="1">
      <c r="A135" s="76" t="n"/>
      <c r="B135" s="76" t="n"/>
      <c r="C135" s="76" t="n"/>
      <c r="D135" s="76" t="n"/>
      <c r="E135" s="76" t="n"/>
      <c r="F135" s="76" t="n"/>
      <c r="G135" s="76" t="n"/>
    </row>
    <row r="136" ht="15" customHeight="1">
      <c r="A136" s="76" t="n"/>
      <c r="B136" s="76" t="n"/>
      <c r="C136" s="76" t="n"/>
      <c r="D136" s="76" t="n"/>
      <c r="E136" s="76" t="n"/>
      <c r="F136" s="76" t="n"/>
      <c r="G136" s="76" t="n"/>
    </row>
    <row r="137" ht="15" customHeight="1">
      <c r="A137" s="76" t="n"/>
      <c r="B137" s="76" t="n"/>
      <c r="C137" s="76" t="n"/>
      <c r="D137" s="76" t="n"/>
      <c r="E137" s="76" t="n"/>
      <c r="F137" s="76" t="n"/>
      <c r="G137" s="76" t="n"/>
    </row>
    <row r="138" ht="15" customHeight="1">
      <c r="A138" s="76" t="n"/>
      <c r="B138" s="76" t="n"/>
      <c r="C138" s="76" t="n"/>
      <c r="D138" s="76" t="n"/>
      <c r="E138" s="76" t="n"/>
      <c r="F138" s="76" t="n"/>
      <c r="G138" s="76" t="n"/>
    </row>
    <row r="139" ht="15" customHeight="1">
      <c r="A139" s="76" t="n"/>
      <c r="B139" s="76" t="n"/>
      <c r="C139" s="76" t="n"/>
      <c r="D139" s="76" t="n"/>
      <c r="E139" s="76" t="n"/>
      <c r="F139" s="76" t="n"/>
      <c r="G139" s="76" t="n"/>
    </row>
    <row r="140" ht="15" customHeight="1">
      <c r="A140" s="76" t="n"/>
      <c r="B140" s="76" t="n"/>
      <c r="C140" s="76" t="n"/>
      <c r="D140" s="76" t="n"/>
      <c r="E140" s="76" t="n"/>
      <c r="F140" s="76" t="n"/>
      <c r="G140" s="76" t="n"/>
    </row>
    <row r="141" ht="15" customHeight="1">
      <c r="A141" s="76" t="n"/>
      <c r="B141" s="76" t="n"/>
      <c r="C141" s="76" t="n"/>
      <c r="D141" s="76" t="n"/>
      <c r="E141" s="76" t="n"/>
      <c r="F141" s="76" t="n"/>
      <c r="G141" s="76" t="n"/>
    </row>
    <row r="142" ht="15" customHeight="1">
      <c r="A142" s="76" t="n"/>
      <c r="B142" s="76" t="n"/>
      <c r="C142" s="76" t="n"/>
      <c r="D142" s="76" t="n"/>
      <c r="E142" s="76" t="n"/>
      <c r="F142" s="76" t="n"/>
      <c r="G142" s="76" t="n"/>
    </row>
    <row r="143" ht="15" customHeight="1">
      <c r="A143" s="76" t="n"/>
      <c r="B143" s="76" t="n"/>
      <c r="C143" s="76" t="n"/>
      <c r="D143" s="76" t="n"/>
      <c r="E143" s="76" t="n"/>
      <c r="F143" s="76" t="n"/>
      <c r="G143" s="76" t="n"/>
    </row>
    <row r="144" ht="15" customHeight="1">
      <c r="A144" s="76" t="n"/>
      <c r="B144" s="76" t="n"/>
      <c r="C144" s="76" t="n"/>
      <c r="D144" s="76" t="n"/>
      <c r="E144" s="76" t="n"/>
      <c r="F144" s="76" t="n"/>
      <c r="G144" s="76" t="n"/>
    </row>
    <row r="145" ht="15" customHeight="1">
      <c r="A145" s="76" t="n"/>
      <c r="B145" s="76" t="n"/>
      <c r="C145" s="76" t="n"/>
      <c r="D145" s="76" t="n"/>
      <c r="E145" s="76" t="n"/>
      <c r="F145" s="76" t="n"/>
      <c r="G145" s="76" t="n"/>
    </row>
    <row r="146" ht="15" customHeight="1">
      <c r="A146" s="76" t="n"/>
      <c r="B146" s="76" t="n"/>
      <c r="C146" s="76" t="n"/>
      <c r="D146" s="76" t="n"/>
      <c r="E146" s="76" t="n"/>
      <c r="F146" s="76" t="n"/>
      <c r="G146" s="76" t="n"/>
    </row>
    <row r="147" ht="15" customHeight="1">
      <c r="A147" s="76" t="n"/>
      <c r="B147" s="76" t="n"/>
      <c r="C147" s="76" t="n"/>
      <c r="D147" s="76" t="n"/>
      <c r="E147" s="76" t="n"/>
      <c r="F147" s="76" t="n"/>
      <c r="G147" s="76" t="n"/>
    </row>
    <row r="148" ht="15" customHeight="1">
      <c r="A148" s="76" t="n"/>
      <c r="B148" s="76" t="n"/>
      <c r="C148" s="76" t="n"/>
      <c r="D148" s="76" t="n"/>
      <c r="E148" s="76" t="n"/>
      <c r="F148" s="76" t="n"/>
      <c r="G148" s="76" t="n"/>
    </row>
    <row r="149" ht="15" customHeight="1">
      <c r="A149" s="76" t="n"/>
      <c r="B149" s="76" t="n"/>
      <c r="C149" s="76" t="n"/>
      <c r="D149" s="76" t="n"/>
      <c r="E149" s="76" t="n"/>
      <c r="F149" s="76" t="n"/>
      <c r="G149" s="76" t="n"/>
    </row>
    <row r="150" ht="15" customHeight="1">
      <c r="A150" s="76" t="n"/>
      <c r="B150" s="76" t="n"/>
      <c r="C150" s="76" t="n"/>
      <c r="D150" s="76" t="n"/>
      <c r="E150" s="76" t="n"/>
      <c r="F150" s="76" t="n"/>
      <c r="G150" s="76" t="n"/>
    </row>
    <row r="151" ht="15" customHeight="1">
      <c r="A151" s="76" t="n"/>
      <c r="B151" s="76" t="n"/>
      <c r="C151" s="76" t="n"/>
      <c r="D151" s="76" t="n"/>
      <c r="E151" s="76" t="n"/>
      <c r="F151" s="76" t="n"/>
      <c r="G151" s="76" t="n"/>
    </row>
    <row r="152" ht="15" customHeight="1">
      <c r="A152" s="76" t="n"/>
      <c r="B152" s="76" t="n"/>
      <c r="C152" s="76" t="n"/>
      <c r="D152" s="76" t="n"/>
      <c r="E152" s="76" t="n"/>
      <c r="F152" s="76" t="n"/>
      <c r="G152" s="76" t="n"/>
    </row>
    <row r="153" ht="15" customHeight="1">
      <c r="A153" s="76" t="n"/>
      <c r="B153" s="76" t="n"/>
      <c r="C153" s="76" t="n"/>
      <c r="D153" s="76" t="n"/>
      <c r="E153" s="76" t="n"/>
      <c r="F153" s="76" t="n"/>
      <c r="G153" s="76" t="n"/>
    </row>
    <row r="154" ht="15" customHeight="1">
      <c r="A154" s="76" t="n"/>
      <c r="B154" s="76" t="n"/>
      <c r="C154" s="76" t="n"/>
      <c r="D154" s="76" t="n"/>
      <c r="E154" s="76" t="n"/>
      <c r="F154" s="76" t="n"/>
      <c r="G154" s="76" t="n"/>
    </row>
    <row r="155" ht="15" customHeight="1">
      <c r="A155" s="76" t="n"/>
      <c r="B155" s="76" t="n"/>
      <c r="C155" s="76" t="n"/>
      <c r="D155" s="76" t="n"/>
      <c r="E155" s="76" t="n"/>
      <c r="F155" s="76" t="n"/>
      <c r="G155" s="76" t="n"/>
    </row>
    <row r="156" ht="15" customHeight="1">
      <c r="A156" s="76" t="n"/>
      <c r="B156" s="76" t="n"/>
      <c r="C156" s="76" t="n"/>
      <c r="D156" s="76" t="n"/>
      <c r="E156" s="76" t="n"/>
      <c r="F156" s="76" t="n"/>
      <c r="G156" s="76" t="n"/>
    </row>
    <row r="157" ht="15" customHeight="1">
      <c r="A157" s="76" t="n"/>
      <c r="B157" s="76" t="n"/>
      <c r="C157" s="76" t="n"/>
      <c r="D157" s="76" t="n"/>
      <c r="E157" s="76" t="n"/>
      <c r="F157" s="76" t="n"/>
      <c r="G157" s="76" t="n"/>
    </row>
    <row r="158" ht="15" customHeight="1">
      <c r="A158" s="76" t="n"/>
      <c r="B158" s="76" t="n"/>
      <c r="C158" s="76" t="n"/>
      <c r="D158" s="76" t="n"/>
      <c r="E158" s="76" t="n"/>
      <c r="F158" s="76" t="n"/>
      <c r="G158" s="76" t="n"/>
    </row>
    <row r="159" ht="15" customHeight="1">
      <c r="A159" s="76" t="n"/>
      <c r="B159" s="76" t="n"/>
      <c r="C159" s="76" t="n"/>
      <c r="D159" s="76" t="n"/>
      <c r="E159" s="76" t="n"/>
      <c r="F159" s="76" t="n"/>
      <c r="G159" s="76" t="n"/>
    </row>
    <row r="160" ht="15" customHeight="1">
      <c r="A160" s="76" t="n"/>
      <c r="B160" s="76" t="n"/>
      <c r="C160" s="76" t="n"/>
      <c r="D160" s="76" t="n"/>
      <c r="E160" s="76" t="n"/>
      <c r="F160" s="76" t="n"/>
      <c r="G160" s="76" t="n"/>
    </row>
    <row r="161" ht="15" customHeight="1">
      <c r="A161" s="76" t="n"/>
      <c r="B161" s="76" t="n"/>
      <c r="C161" s="76" t="n"/>
      <c r="D161" s="76" t="n"/>
      <c r="E161" s="76" t="n"/>
      <c r="F161" s="76" t="n"/>
      <c r="G161" s="76" t="n"/>
    </row>
    <row r="162" ht="15" customHeight="1">
      <c r="A162" s="76" t="n"/>
      <c r="B162" s="76" t="n"/>
      <c r="C162" s="76" t="n"/>
      <c r="D162" s="76" t="n"/>
      <c r="E162" s="76" t="n"/>
      <c r="F162" s="76" t="n"/>
      <c r="G162" s="76" t="n"/>
    </row>
    <row r="163" ht="15" customHeight="1">
      <c r="A163" s="76" t="n"/>
      <c r="B163" s="76" t="n"/>
      <c r="C163" s="76" t="n"/>
      <c r="D163" s="76" t="n"/>
      <c r="E163" s="76" t="n"/>
      <c r="F163" s="76" t="n"/>
      <c r="G163" s="76" t="n"/>
    </row>
    <row r="164" ht="15" customHeight="1">
      <c r="A164" s="76" t="n"/>
      <c r="B164" s="76" t="n"/>
      <c r="C164" s="76" t="n"/>
      <c r="D164" s="76" t="n"/>
      <c r="E164" s="76" t="n"/>
      <c r="F164" s="76" t="n"/>
      <c r="G164" s="76" t="n"/>
    </row>
    <row r="165" ht="15" customHeight="1">
      <c r="A165" s="76" t="n"/>
      <c r="B165" s="76" t="n"/>
      <c r="C165" s="76" t="n"/>
      <c r="D165" s="76" t="n"/>
      <c r="E165" s="76" t="n"/>
      <c r="F165" s="76" t="n"/>
      <c r="G165" s="76" t="n"/>
    </row>
    <row r="166" ht="15" customHeight="1">
      <c r="A166" s="76" t="n"/>
      <c r="B166" s="76" t="n"/>
      <c r="C166" s="76" t="n"/>
      <c r="D166" s="76" t="n"/>
      <c r="E166" s="76" t="n"/>
      <c r="F166" s="76" t="n"/>
      <c r="G166" s="76" t="n"/>
    </row>
    <row r="167" ht="15" customHeight="1">
      <c r="A167" s="76" t="n"/>
      <c r="B167" s="76" t="n"/>
      <c r="C167" s="76" t="n"/>
      <c r="D167" s="76" t="n"/>
      <c r="E167" s="76" t="n"/>
      <c r="F167" s="76" t="n"/>
      <c r="G167" s="76" t="n"/>
    </row>
    <row r="168" ht="15" customHeight="1">
      <c r="A168" s="76" t="n"/>
      <c r="B168" s="76" t="n"/>
      <c r="C168" s="76" t="n"/>
      <c r="D168" s="76" t="n"/>
      <c r="E168" s="76" t="n"/>
      <c r="F168" s="76" t="n"/>
      <c r="G168" s="76" t="n"/>
    </row>
    <row r="169" ht="15" customHeight="1">
      <c r="A169" s="76" t="n"/>
      <c r="B169" s="76" t="n"/>
      <c r="C169" s="76" t="n"/>
      <c r="D169" s="76" t="n"/>
      <c r="E169" s="76" t="n"/>
      <c r="F169" s="76" t="n"/>
      <c r="G169" s="76" t="n"/>
    </row>
    <row r="170" ht="15" customHeight="1">
      <c r="A170" s="76" t="n"/>
      <c r="B170" s="76" t="n"/>
      <c r="C170" s="76" t="n"/>
      <c r="D170" s="76" t="n"/>
      <c r="E170" s="76" t="n"/>
      <c r="F170" s="76" t="n"/>
      <c r="G170" s="76" t="n"/>
    </row>
    <row r="171" ht="15" customHeight="1">
      <c r="A171" s="76" t="n"/>
      <c r="B171" s="76" t="n"/>
      <c r="C171" s="76" t="n"/>
      <c r="D171" s="76" t="n"/>
      <c r="E171" s="76" t="n"/>
      <c r="F171" s="76" t="n"/>
      <c r="G171" s="76" t="n"/>
    </row>
    <row r="172" ht="15" customHeight="1">
      <c r="A172" s="76" t="n"/>
      <c r="B172" s="76" t="n"/>
      <c r="C172" s="76" t="n"/>
      <c r="D172" s="76" t="n"/>
      <c r="E172" s="76" t="n"/>
      <c r="F172" s="76" t="n"/>
      <c r="G172" s="76" t="n"/>
    </row>
    <row r="173" ht="15" customHeight="1">
      <c r="A173" s="76" t="n"/>
      <c r="B173" s="76" t="n"/>
      <c r="C173" s="76" t="n"/>
      <c r="D173" s="76" t="n"/>
      <c r="E173" s="76" t="n"/>
      <c r="F173" s="76" t="n"/>
      <c r="G173" s="76" t="n"/>
    </row>
    <row r="174" ht="15" customHeight="1">
      <c r="A174" s="76" t="n"/>
      <c r="B174" s="76" t="n"/>
      <c r="C174" s="76" t="n"/>
      <c r="D174" s="76" t="n"/>
      <c r="E174" s="76" t="n"/>
      <c r="F174" s="76" t="n"/>
      <c r="G174" s="76" t="n"/>
    </row>
    <row r="175" ht="15" customHeight="1">
      <c r="A175" s="76" t="n"/>
      <c r="B175" s="76" t="n"/>
      <c r="C175" s="76" t="n"/>
      <c r="D175" s="76" t="n"/>
      <c r="E175" s="76" t="n"/>
      <c r="F175" s="76" t="n"/>
      <c r="G175" s="76" t="n"/>
    </row>
    <row r="176" ht="15" customHeight="1">
      <c r="A176" s="76" t="n"/>
      <c r="B176" s="76" t="n"/>
      <c r="C176" s="76" t="n"/>
      <c r="D176" s="76" t="n"/>
      <c r="E176" s="76" t="n"/>
      <c r="F176" s="76" t="n"/>
      <c r="G176" s="76" t="n"/>
    </row>
    <row r="177" ht="15" customHeight="1">
      <c r="A177" s="76" t="n"/>
      <c r="B177" s="76" t="n"/>
      <c r="C177" s="76" t="n"/>
      <c r="D177" s="76" t="n"/>
      <c r="E177" s="76" t="n"/>
      <c r="F177" s="76" t="n"/>
      <c r="G177" s="76" t="n"/>
    </row>
    <row r="178" ht="15" customHeight="1">
      <c r="A178" s="76" t="n"/>
      <c r="B178" s="76" t="n"/>
      <c r="C178" s="76" t="n"/>
      <c r="D178" s="76" t="n"/>
      <c r="E178" s="76" t="n"/>
      <c r="F178" s="76" t="n"/>
      <c r="G178" s="76" t="n"/>
    </row>
    <row r="179" ht="15" customHeight="1">
      <c r="A179" s="76" t="n"/>
      <c r="B179" s="76" t="n"/>
      <c r="C179" s="76" t="n"/>
      <c r="D179" s="76" t="n"/>
      <c r="E179" s="76" t="n"/>
      <c r="F179" s="76" t="n"/>
      <c r="G179" s="76" t="n"/>
    </row>
    <row r="180" ht="15" customHeight="1">
      <c r="A180" s="76" t="n"/>
      <c r="B180" s="76" t="n"/>
      <c r="C180" s="76" t="n"/>
      <c r="D180" s="76" t="n"/>
      <c r="E180" s="76" t="n"/>
      <c r="F180" s="76" t="n"/>
      <c r="G180" s="76" t="n"/>
    </row>
    <row r="181" ht="15" customHeight="1">
      <c r="A181" s="76" t="n"/>
      <c r="B181" s="76" t="n"/>
      <c r="C181" s="76" t="n"/>
      <c r="D181" s="76" t="n"/>
      <c r="E181" s="76" t="n"/>
      <c r="F181" s="76" t="n"/>
      <c r="G181" s="76" t="n"/>
    </row>
    <row r="182" ht="15" customHeight="1">
      <c r="A182" s="76" t="n"/>
      <c r="B182" s="76" t="n"/>
      <c r="C182" s="76" t="n"/>
      <c r="D182" s="76" t="n"/>
      <c r="E182" s="76" t="n"/>
      <c r="F182" s="76" t="n"/>
      <c r="G182" s="76" t="n"/>
    </row>
    <row r="183" ht="15" customHeight="1">
      <c r="A183" s="76" t="n"/>
      <c r="B183" s="76" t="n"/>
      <c r="C183" s="76" t="n"/>
      <c r="D183" s="76" t="n"/>
      <c r="E183" s="76" t="n"/>
      <c r="F183" s="76" t="n"/>
      <c r="G183" s="76" t="n"/>
    </row>
    <row r="184" ht="15" customHeight="1">
      <c r="A184" s="76" t="n"/>
      <c r="B184" s="76" t="n"/>
      <c r="C184" s="76" t="n"/>
      <c r="D184" s="76" t="n"/>
      <c r="E184" s="76" t="n"/>
      <c r="F184" s="76" t="n"/>
      <c r="G184" s="76" t="n"/>
    </row>
    <row r="185" ht="15" customHeight="1">
      <c r="A185" s="76" t="n"/>
      <c r="B185" s="76" t="n"/>
      <c r="C185" s="76" t="n"/>
      <c r="D185" s="76" t="n"/>
      <c r="E185" s="76" t="n"/>
      <c r="F185" s="76" t="n"/>
      <c r="G185" s="76" t="n"/>
    </row>
    <row r="186" ht="15" customHeight="1">
      <c r="A186" s="76" t="n"/>
      <c r="B186" s="76" t="n"/>
      <c r="C186" s="76" t="n"/>
      <c r="D186" s="76" t="n"/>
      <c r="E186" s="76" t="n"/>
      <c r="F186" s="76" t="n"/>
      <c r="G186" s="76" t="n"/>
    </row>
    <row r="187" ht="15" customHeight="1">
      <c r="A187" s="76" t="n"/>
      <c r="B187" s="76" t="n"/>
      <c r="C187" s="76" t="n"/>
      <c r="D187" s="76" t="n"/>
      <c r="E187" s="76" t="n"/>
      <c r="F187" s="76" t="n"/>
      <c r="G187" s="76" t="n"/>
    </row>
    <row r="188" ht="15" customHeight="1">
      <c r="A188" s="76" t="n"/>
      <c r="B188" s="76" t="n"/>
      <c r="C188" s="76" t="n"/>
      <c r="D188" s="76" t="n"/>
      <c r="E188" s="76" t="n"/>
      <c r="F188" s="76" t="n"/>
      <c r="G188" s="76" t="n"/>
    </row>
    <row r="189" ht="15" customHeight="1">
      <c r="A189" s="76" t="n"/>
      <c r="B189" s="76" t="n"/>
      <c r="C189" s="76" t="n"/>
      <c r="D189" s="76" t="n"/>
      <c r="E189" s="76" t="n"/>
      <c r="F189" s="76" t="n"/>
      <c r="G189" s="76" t="n"/>
    </row>
    <row r="190" ht="15" customHeight="1">
      <c r="A190" s="76" t="n"/>
      <c r="B190" s="76" t="n"/>
      <c r="C190" s="76" t="n"/>
      <c r="D190" s="76" t="n"/>
      <c r="E190" s="76" t="n"/>
      <c r="F190" s="76" t="n"/>
      <c r="G190" s="76" t="n"/>
    </row>
    <row r="191" ht="15" customHeight="1">
      <c r="A191" s="76" t="n"/>
      <c r="B191" s="76" t="n"/>
      <c r="C191" s="76" t="n"/>
      <c r="D191" s="76" t="n"/>
      <c r="E191" s="76" t="n"/>
      <c r="F191" s="76" t="n"/>
      <c r="G191" s="76" t="n"/>
    </row>
    <row r="192" ht="15" customHeight="1">
      <c r="A192" s="76" t="n"/>
      <c r="B192" s="76" t="n"/>
      <c r="C192" s="76" t="n"/>
      <c r="D192" s="76" t="n"/>
      <c r="E192" s="76" t="n"/>
      <c r="F192" s="76" t="n"/>
      <c r="G192" s="76" t="n"/>
    </row>
    <row r="193" ht="15" customHeight="1">
      <c r="A193" s="76" t="n"/>
      <c r="B193" s="76" t="n"/>
      <c r="C193" s="76" t="n"/>
      <c r="D193" s="76" t="n"/>
      <c r="E193" s="76" t="n"/>
      <c r="F193" s="76" t="n"/>
      <c r="G193" s="76" t="n"/>
    </row>
    <row r="194" ht="15" customHeight="1">
      <c r="A194" s="76" t="n"/>
      <c r="B194" s="76" t="n"/>
      <c r="C194" s="76" t="n"/>
      <c r="D194" s="76" t="n"/>
      <c r="E194" s="76" t="n"/>
      <c r="F194" s="76" t="n"/>
      <c r="G194" s="76" t="n"/>
    </row>
    <row r="195" ht="15" customHeight="1">
      <c r="A195" s="76" t="n"/>
      <c r="B195" s="76" t="n"/>
      <c r="C195" s="76" t="n"/>
      <c r="D195" s="76" t="n"/>
      <c r="E195" s="76" t="n"/>
      <c r="F195" s="76" t="n"/>
      <c r="G195" s="76" t="n"/>
    </row>
    <row r="196" ht="15" customHeight="1">
      <c r="A196" s="76" t="n"/>
      <c r="B196" s="76" t="n"/>
      <c r="C196" s="76" t="n"/>
      <c r="D196" s="76" t="n"/>
      <c r="E196" s="76" t="n"/>
      <c r="F196" s="76" t="n"/>
      <c r="G196" s="76" t="n"/>
    </row>
    <row r="197" ht="15" customHeight="1">
      <c r="A197" s="76" t="n"/>
      <c r="B197" s="76" t="n"/>
      <c r="C197" s="76" t="n"/>
      <c r="D197" s="76" t="n"/>
      <c r="E197" s="76" t="n"/>
      <c r="F197" s="76" t="n"/>
      <c r="G197" s="76" t="n"/>
    </row>
    <row r="198" ht="15" customHeight="1">
      <c r="A198" s="76" t="n"/>
      <c r="B198" s="76" t="n"/>
      <c r="C198" s="76" t="n"/>
      <c r="D198" s="76" t="n"/>
      <c r="E198" s="76" t="n"/>
      <c r="F198" s="76" t="n"/>
      <c r="G198" s="76" t="n"/>
    </row>
    <row r="199" ht="15" customHeight="1">
      <c r="A199" s="76" t="n"/>
      <c r="B199" s="76" t="n"/>
      <c r="C199" s="76" t="n"/>
      <c r="D199" s="76" t="n"/>
      <c r="E199" s="76" t="n"/>
      <c r="F199" s="76" t="n"/>
      <c r="G199" s="76" t="n"/>
    </row>
    <row r="200" ht="15" customHeight="1">
      <c r="A200" s="76" t="n"/>
      <c r="B200" s="76" t="n"/>
      <c r="C200" s="76" t="n"/>
      <c r="D200" s="76" t="n"/>
      <c r="E200" s="76" t="n"/>
      <c r="F200" s="76" t="n"/>
      <c r="G200" s="76" t="n"/>
    </row>
    <row r="201" ht="15" customHeight="1">
      <c r="A201" s="76" t="n"/>
      <c r="B201" s="76" t="n"/>
      <c r="C201" s="76" t="n"/>
      <c r="D201" s="76" t="n"/>
      <c r="E201" s="76" t="n"/>
      <c r="F201" s="76" t="n"/>
      <c r="G201" s="76" t="n"/>
    </row>
    <row r="202" ht="15" customHeight="1">
      <c r="A202" s="76" t="n"/>
      <c r="B202" s="76" t="n"/>
      <c r="C202" s="76" t="n"/>
      <c r="D202" s="76" t="n"/>
      <c r="E202" s="76" t="n"/>
      <c r="F202" s="76" t="n"/>
      <c r="G202" s="76" t="n"/>
    </row>
    <row r="203" ht="15" customHeight="1">
      <c r="A203" s="76" t="n"/>
      <c r="B203" s="76" t="n"/>
      <c r="C203" s="76" t="n"/>
      <c r="D203" s="76" t="n"/>
      <c r="E203" s="76" t="n"/>
      <c r="F203" s="76" t="n"/>
      <c r="G203" s="76" t="n"/>
    </row>
    <row r="204" ht="15" customHeight="1">
      <c r="A204" s="76" t="n"/>
      <c r="B204" s="76" t="n"/>
      <c r="C204" s="76" t="n"/>
      <c r="D204" s="76" t="n"/>
      <c r="E204" s="76" t="n"/>
      <c r="F204" s="76" t="n"/>
      <c r="G204" s="76" t="n"/>
    </row>
    <row r="205" ht="15" customHeight="1">
      <c r="A205" s="76" t="n"/>
      <c r="B205" s="76" t="n"/>
      <c r="C205" s="76" t="n"/>
      <c r="D205" s="76" t="n"/>
      <c r="E205" s="76" t="n"/>
      <c r="F205" s="76" t="n"/>
      <c r="G205" s="76" t="n"/>
    </row>
    <row r="206" ht="15" customHeight="1">
      <c r="A206" s="76" t="n"/>
      <c r="B206" s="76" t="n"/>
      <c r="C206" s="76" t="n"/>
      <c r="D206" s="76" t="n"/>
      <c r="E206" s="76" t="n"/>
      <c r="F206" s="76" t="n"/>
      <c r="G206" s="76" t="n"/>
    </row>
    <row r="207" ht="15" customHeight="1">
      <c r="A207" s="76" t="n"/>
      <c r="B207" s="76" t="n"/>
      <c r="C207" s="76" t="n"/>
      <c r="D207" s="76" t="n"/>
      <c r="E207" s="76" t="n"/>
      <c r="F207" s="76" t="n"/>
      <c r="G207" s="76" t="n"/>
    </row>
    <row r="208" ht="15" customHeight="1">
      <c r="A208" s="76" t="n"/>
      <c r="B208" s="76" t="n"/>
      <c r="C208" s="76" t="n"/>
      <c r="D208" s="76" t="n"/>
      <c r="E208" s="76" t="n"/>
      <c r="F208" s="76" t="n"/>
      <c r="G208" s="76" t="n"/>
    </row>
    <row r="209" ht="15" customHeight="1">
      <c r="A209" s="76" t="n"/>
      <c r="B209" s="76" t="n"/>
      <c r="C209" s="76" t="n"/>
      <c r="D209" s="76" t="n"/>
      <c r="E209" s="76" t="n"/>
      <c r="F209" s="76" t="n"/>
      <c r="G209" s="76" t="n"/>
    </row>
    <row r="210" ht="15" customHeight="1">
      <c r="A210" s="76" t="n"/>
      <c r="B210" s="76" t="n"/>
      <c r="C210" s="76" t="n"/>
      <c r="D210" s="76" t="n"/>
      <c r="E210" s="76" t="n"/>
      <c r="F210" s="76" t="n"/>
      <c r="G210" s="76" t="n"/>
    </row>
    <row r="211" ht="15" customHeight="1">
      <c r="A211" s="76" t="n"/>
      <c r="B211" s="76" t="n"/>
      <c r="C211" s="76" t="n"/>
      <c r="D211" s="76" t="n"/>
      <c r="E211" s="76" t="n"/>
      <c r="F211" s="76" t="n"/>
      <c r="G211" s="76" t="n"/>
    </row>
    <row r="212" ht="15" customHeight="1">
      <c r="A212" s="76" t="n"/>
      <c r="B212" s="76" t="n"/>
      <c r="C212" s="76" t="n"/>
      <c r="D212" s="76" t="n"/>
      <c r="E212" s="76" t="n"/>
      <c r="F212" s="76" t="n"/>
      <c r="G212" s="76" t="n"/>
    </row>
    <row r="213" ht="15" customHeight="1">
      <c r="A213" s="76" t="n"/>
      <c r="B213" s="76" t="n"/>
      <c r="C213" s="76" t="n"/>
      <c r="D213" s="76" t="n"/>
      <c r="E213" s="76" t="n"/>
      <c r="F213" s="76" t="n"/>
      <c r="G213" s="76" t="n"/>
    </row>
    <row r="214" ht="15" customHeight="1">
      <c r="A214" s="76" t="n"/>
      <c r="B214" s="76" t="n"/>
      <c r="C214" s="76" t="n"/>
      <c r="D214" s="76" t="n"/>
      <c r="E214" s="76" t="n"/>
      <c r="F214" s="76" t="n"/>
      <c r="G214" s="76" t="n"/>
    </row>
    <row r="215" ht="15" customHeight="1">
      <c r="A215" s="76" t="n"/>
      <c r="B215" s="76" t="n"/>
      <c r="C215" s="76" t="n"/>
      <c r="D215" s="76" t="n"/>
      <c r="E215" s="76" t="n"/>
      <c r="F215" s="76" t="n"/>
      <c r="G215" s="76" t="n"/>
    </row>
    <row r="216" ht="15" customHeight="1">
      <c r="A216" s="76" t="n"/>
      <c r="B216" s="76" t="n"/>
      <c r="C216" s="76" t="n"/>
      <c r="D216" s="76" t="n"/>
      <c r="E216" s="76" t="n"/>
      <c r="F216" s="76" t="n"/>
      <c r="G216" s="76" t="n"/>
    </row>
    <row r="217" ht="15" customHeight="1">
      <c r="A217" s="76" t="n"/>
      <c r="B217" s="76" t="n"/>
      <c r="C217" s="76" t="n"/>
      <c r="D217" s="76" t="n"/>
      <c r="E217" s="76" t="n"/>
      <c r="F217" s="76" t="n"/>
      <c r="G217" s="76" t="n"/>
    </row>
    <row r="218" ht="15" customHeight="1">
      <c r="A218" s="76" t="n"/>
      <c r="B218" s="76" t="n"/>
      <c r="C218" s="76" t="n"/>
      <c r="D218" s="76" t="n"/>
      <c r="E218" s="76" t="n"/>
      <c r="F218" s="76" t="n"/>
      <c r="G218" s="76" t="n"/>
    </row>
    <row r="219" ht="15" customHeight="1">
      <c r="A219" s="76" t="n"/>
      <c r="B219" s="76" t="n"/>
      <c r="C219" s="76" t="n"/>
      <c r="D219" s="76" t="n"/>
      <c r="E219" s="76" t="n"/>
      <c r="F219" s="76" t="n"/>
      <c r="G219" s="76" t="n"/>
    </row>
    <row r="220" ht="15" customHeight="1">
      <c r="A220" s="76" t="n"/>
      <c r="B220" s="76" t="n"/>
      <c r="C220" s="76" t="n"/>
      <c r="D220" s="76" t="n"/>
      <c r="E220" s="76" t="n"/>
      <c r="F220" s="76" t="n"/>
      <c r="G220" s="76" t="n"/>
    </row>
    <row r="221" ht="15" customHeight="1">
      <c r="A221" s="76" t="n"/>
      <c r="B221" s="76" t="n"/>
      <c r="C221" s="76" t="n"/>
      <c r="D221" s="76" t="n"/>
      <c r="E221" s="76" t="n"/>
      <c r="F221" s="76" t="n"/>
      <c r="G221" s="76" t="n"/>
    </row>
    <row r="222" ht="15" customHeight="1">
      <c r="A222" s="76" t="n"/>
      <c r="B222" s="76" t="n"/>
      <c r="C222" s="76" t="n"/>
      <c r="D222" s="76" t="n"/>
      <c r="E222" s="76" t="n"/>
      <c r="F222" s="76" t="n"/>
      <c r="G222" s="76" t="n"/>
    </row>
    <row r="223" ht="15" customHeight="1">
      <c r="A223" s="76" t="n"/>
      <c r="B223" s="76" t="n"/>
      <c r="C223" s="76" t="n"/>
      <c r="D223" s="76" t="n"/>
      <c r="E223" s="76" t="n"/>
      <c r="F223" s="76" t="n"/>
      <c r="G223" s="76" t="n"/>
    </row>
    <row r="224" ht="15" customHeight="1">
      <c r="A224" s="76" t="n"/>
      <c r="B224" s="76" t="n"/>
      <c r="C224" s="76" t="n"/>
      <c r="D224" s="76" t="n"/>
      <c r="E224" s="76" t="n"/>
      <c r="F224" s="76" t="n"/>
      <c r="G224" s="76" t="n"/>
    </row>
    <row r="225" ht="15" customHeight="1">
      <c r="A225" s="76" t="n"/>
      <c r="B225" s="76" t="n"/>
      <c r="C225" s="76" t="n"/>
      <c r="D225" s="76" t="n"/>
      <c r="E225" s="76" t="n"/>
      <c r="F225" s="76" t="n"/>
      <c r="G225" s="76" t="n"/>
    </row>
    <row r="226" ht="15" customHeight="1">
      <c r="A226" s="76" t="n"/>
      <c r="B226" s="76" t="n"/>
      <c r="C226" s="76" t="n"/>
      <c r="D226" s="76" t="n"/>
      <c r="E226" s="76" t="n"/>
      <c r="F226" s="76" t="n"/>
      <c r="G226" s="76" t="n"/>
    </row>
    <row r="227" ht="15" customHeight="1">
      <c r="A227" s="76" t="n"/>
      <c r="B227" s="76" t="n"/>
      <c r="C227" s="76" t="n"/>
      <c r="D227" s="76" t="n"/>
      <c r="E227" s="76" t="n"/>
      <c r="F227" s="76" t="n"/>
      <c r="G227" s="76" t="n"/>
    </row>
    <row r="228" ht="15" customHeight="1">
      <c r="A228" s="76" t="n"/>
      <c r="B228" s="76" t="n"/>
      <c r="C228" s="76" t="n"/>
      <c r="D228" s="76" t="n"/>
      <c r="E228" s="76" t="n"/>
      <c r="F228" s="76" t="n"/>
      <c r="G228" s="76" t="n"/>
    </row>
    <row r="229" ht="15" customHeight="1">
      <c r="A229" s="76" t="n"/>
      <c r="B229" s="76" t="n"/>
      <c r="C229" s="76" t="n"/>
      <c r="D229" s="76" t="n"/>
      <c r="E229" s="76" t="n"/>
      <c r="F229" s="76" t="n"/>
      <c r="G229" s="76" t="n"/>
    </row>
    <row r="230" ht="15" customHeight="1">
      <c r="A230" s="76" t="n"/>
      <c r="B230" s="76" t="n"/>
      <c r="C230" s="76" t="n"/>
      <c r="D230" s="76" t="n"/>
      <c r="E230" s="76" t="n"/>
      <c r="F230" s="76" t="n"/>
      <c r="G230" s="76" t="n"/>
    </row>
    <row r="231" ht="15" customHeight="1">
      <c r="A231" s="76" t="n"/>
      <c r="B231" s="76" t="n"/>
      <c r="C231" s="76" t="n"/>
      <c r="D231" s="76" t="n"/>
      <c r="E231" s="76" t="n"/>
      <c r="F231" s="76" t="n"/>
      <c r="G231" s="76" t="n"/>
    </row>
    <row r="232" ht="15" customHeight="1">
      <c r="A232" s="76" t="n"/>
      <c r="B232" s="76" t="n"/>
      <c r="C232" s="76" t="n"/>
      <c r="D232" s="76" t="n"/>
      <c r="E232" s="76" t="n"/>
      <c r="F232" s="76" t="n"/>
      <c r="G232" s="76" t="n"/>
    </row>
    <row r="233" ht="15" customHeight="1">
      <c r="A233" s="76" t="n"/>
      <c r="B233" s="76" t="n"/>
      <c r="C233" s="76" t="n"/>
      <c r="D233" s="76" t="n"/>
      <c r="E233" s="76" t="n"/>
      <c r="F233" s="76" t="n"/>
      <c r="G233" s="76" t="n"/>
    </row>
    <row r="234" ht="15" customHeight="1">
      <c r="A234" s="76" t="n"/>
      <c r="B234" s="76" t="n"/>
      <c r="C234" s="76" t="n"/>
      <c r="D234" s="76" t="n"/>
      <c r="E234" s="76" t="n"/>
      <c r="F234" s="76" t="n"/>
      <c r="G234" s="76" t="n"/>
    </row>
    <row r="235" ht="15" customHeight="1">
      <c r="A235" s="76" t="n"/>
      <c r="B235" s="76" t="n"/>
      <c r="C235" s="76" t="n"/>
      <c r="D235" s="76" t="n"/>
      <c r="E235" s="76" t="n"/>
      <c r="F235" s="76" t="n"/>
      <c r="G235" s="76" t="n"/>
    </row>
    <row r="236" ht="15" customHeight="1">
      <c r="A236" s="76" t="n"/>
      <c r="B236" s="76" t="n"/>
      <c r="C236" s="76" t="n"/>
      <c r="D236" s="76" t="n"/>
      <c r="E236" s="76" t="n"/>
      <c r="F236" s="76" t="n"/>
      <c r="G236" s="76" t="n"/>
    </row>
    <row r="237" ht="15" customHeight="1">
      <c r="A237" s="76" t="n"/>
      <c r="B237" s="76" t="n"/>
      <c r="C237" s="76" t="n"/>
      <c r="D237" s="76" t="n"/>
      <c r="E237" s="76" t="n"/>
      <c r="F237" s="76" t="n"/>
      <c r="G237" s="76" t="n"/>
    </row>
    <row r="238" ht="15" customHeight="1">
      <c r="A238" s="76" t="n"/>
      <c r="B238" s="76" t="n"/>
      <c r="C238" s="76" t="n"/>
      <c r="D238" s="76" t="n"/>
      <c r="E238" s="76" t="n"/>
      <c r="F238" s="76" t="n"/>
      <c r="G238" s="76" t="n"/>
    </row>
    <row r="239" ht="15" customHeight="1">
      <c r="A239" s="76" t="n"/>
      <c r="B239" s="76" t="n"/>
      <c r="C239" s="76" t="n"/>
      <c r="D239" s="76" t="n"/>
      <c r="E239" s="76" t="n"/>
      <c r="F239" s="76" t="n"/>
      <c r="G239" s="76" t="n"/>
    </row>
    <row r="240" ht="15" customHeight="1">
      <c r="A240" s="76" t="n"/>
      <c r="B240" s="76" t="n"/>
      <c r="C240" s="76" t="n"/>
      <c r="D240" s="76" t="n"/>
      <c r="E240" s="76" t="n"/>
      <c r="F240" s="76" t="n"/>
      <c r="G240" s="76" t="n"/>
    </row>
    <row r="241" ht="15" customHeight="1">
      <c r="A241" s="76" t="n"/>
      <c r="B241" s="76" t="n"/>
      <c r="C241" s="76" t="n"/>
      <c r="D241" s="76" t="n"/>
      <c r="E241" s="76" t="n"/>
      <c r="F241" s="76" t="n"/>
      <c r="G241" s="76" t="n"/>
    </row>
    <row r="242" ht="15" customHeight="1">
      <c r="A242" s="76" t="n"/>
      <c r="B242" s="76" t="n"/>
      <c r="C242" s="76" t="n"/>
      <c r="D242" s="76" t="n"/>
      <c r="E242" s="76" t="n"/>
      <c r="F242" s="76" t="n"/>
      <c r="G242" s="76" t="n"/>
    </row>
    <row r="243" ht="15" customHeight="1">
      <c r="A243" s="76" t="n"/>
      <c r="B243" s="76" t="n"/>
      <c r="C243" s="76" t="n"/>
      <c r="D243" s="76" t="n"/>
      <c r="E243" s="76" t="n"/>
      <c r="F243" s="76" t="n"/>
      <c r="G243" s="76" t="n"/>
    </row>
    <row r="244" ht="15" customHeight="1">
      <c r="A244" s="76" t="n"/>
      <c r="B244" s="76" t="n"/>
      <c r="C244" s="76" t="n"/>
      <c r="D244" s="76" t="n"/>
      <c r="E244" s="76" t="n"/>
      <c r="F244" s="76" t="n"/>
      <c r="G244" s="76" t="n"/>
    </row>
    <row r="245" ht="15" customHeight="1">
      <c r="A245" s="76" t="n"/>
      <c r="B245" s="76" t="n"/>
      <c r="C245" s="76" t="n"/>
      <c r="D245" s="76" t="n"/>
      <c r="E245" s="76" t="n"/>
      <c r="F245" s="76" t="n"/>
      <c r="G245" s="76" t="n"/>
    </row>
    <row r="246" ht="15" customHeight="1">
      <c r="A246" s="76" t="n"/>
      <c r="B246" s="76" t="n"/>
      <c r="C246" s="76" t="n"/>
      <c r="D246" s="76" t="n"/>
      <c r="E246" s="76" t="n"/>
      <c r="F246" s="76" t="n"/>
      <c r="G246" s="76" t="n"/>
    </row>
    <row r="247" ht="15" customHeight="1">
      <c r="A247" s="76" t="n"/>
      <c r="B247" s="76" t="n"/>
      <c r="C247" s="76" t="n"/>
      <c r="D247" s="76" t="n"/>
      <c r="E247" s="76" t="n"/>
      <c r="F247" s="76" t="n"/>
      <c r="G247" s="76" t="n"/>
    </row>
    <row r="248" ht="15" customHeight="1">
      <c r="A248" s="76" t="n"/>
      <c r="B248" s="76" t="n"/>
      <c r="C248" s="76" t="n"/>
      <c r="D248" s="76" t="n"/>
      <c r="E248" s="76" t="n"/>
      <c r="F248" s="76" t="n"/>
      <c r="G248" s="76" t="n"/>
    </row>
    <row r="249" ht="15" customHeight="1">
      <c r="A249" s="76" t="n"/>
      <c r="B249" s="76" t="n"/>
      <c r="C249" s="76" t="n"/>
      <c r="D249" s="76" t="n"/>
      <c r="E249" s="76" t="n"/>
      <c r="F249" s="76" t="n"/>
      <c r="G249" s="76" t="n"/>
    </row>
    <row r="250" ht="15" customHeight="1">
      <c r="A250" s="76" t="n"/>
      <c r="B250" s="76" t="n"/>
      <c r="C250" s="76" t="n"/>
      <c r="D250" s="76" t="n"/>
      <c r="E250" s="76" t="n"/>
      <c r="F250" s="76" t="n"/>
      <c r="G250" s="76" t="n"/>
    </row>
    <row r="251" ht="15" customHeight="1">
      <c r="A251" s="76" t="n"/>
      <c r="B251" s="76" t="n"/>
      <c r="C251" s="76" t="n"/>
      <c r="D251" s="76" t="n"/>
      <c r="E251" s="76" t="n"/>
      <c r="F251" s="76" t="n"/>
      <c r="G251" s="76" t="n"/>
    </row>
    <row r="252" ht="15" customHeight="1">
      <c r="A252" s="76" t="n"/>
      <c r="B252" s="76" t="n"/>
      <c r="C252" s="76" t="n"/>
      <c r="D252" s="76" t="n"/>
      <c r="E252" s="76" t="n"/>
      <c r="F252" s="76" t="n"/>
      <c r="G252" s="76" t="n"/>
    </row>
    <row r="253" ht="15" customHeight="1">
      <c r="A253" s="76" t="n"/>
      <c r="B253" s="76" t="n"/>
      <c r="C253" s="76" t="n"/>
      <c r="D253" s="76" t="n"/>
      <c r="E253" s="76" t="n"/>
      <c r="F253" s="76" t="n"/>
      <c r="G253" s="76" t="n"/>
    </row>
    <row r="254" ht="15" customHeight="1">
      <c r="A254" s="76" t="n"/>
      <c r="B254" s="76" t="n"/>
      <c r="C254" s="76" t="n"/>
      <c r="D254" s="76" t="n"/>
      <c r="E254" s="76" t="n"/>
      <c r="F254" s="76" t="n"/>
      <c r="G254" s="76" t="n"/>
    </row>
    <row r="255" ht="15" customHeight="1">
      <c r="A255" s="76" t="n"/>
      <c r="B255" s="76" t="n"/>
      <c r="C255" s="76" t="n"/>
      <c r="D255" s="76" t="n"/>
      <c r="E255" s="76" t="n"/>
      <c r="F255" s="76" t="n"/>
      <c r="G255" s="76" t="n"/>
    </row>
    <row r="256" ht="15" customHeight="1">
      <c r="A256" s="76" t="n"/>
      <c r="B256" s="76" t="n"/>
      <c r="C256" s="76" t="n"/>
      <c r="D256" s="76" t="n"/>
      <c r="E256" s="76" t="n"/>
      <c r="F256" s="76" t="n"/>
      <c r="G256" s="76" t="n"/>
    </row>
    <row r="257" ht="15" customHeight="1">
      <c r="A257" s="76" t="n"/>
      <c r="B257" s="76" t="n"/>
      <c r="C257" s="76" t="n"/>
      <c r="D257" s="76" t="n"/>
      <c r="E257" s="76" t="n"/>
      <c r="F257" s="76" t="n"/>
      <c r="G257" s="76" t="n"/>
    </row>
    <row r="258" ht="15" customHeight="1">
      <c r="A258" s="76" t="n"/>
      <c r="B258" s="76" t="n"/>
      <c r="C258" s="76" t="n"/>
      <c r="D258" s="76" t="n"/>
      <c r="E258" s="76" t="n"/>
      <c r="F258" s="76" t="n"/>
      <c r="G258" s="76" t="n"/>
    </row>
    <row r="259" ht="15" customHeight="1">
      <c r="A259" s="76" t="n"/>
      <c r="B259" s="76" t="n"/>
      <c r="C259" s="76" t="n"/>
      <c r="D259" s="76" t="n"/>
      <c r="E259" s="76" t="n"/>
      <c r="F259" s="76" t="n"/>
      <c r="G259" s="76" t="n"/>
    </row>
    <row r="260" ht="15" customHeight="1">
      <c r="A260" s="76" t="n"/>
      <c r="B260" s="76" t="n"/>
      <c r="C260" s="76" t="n"/>
      <c r="D260" s="76" t="n"/>
      <c r="E260" s="76" t="n"/>
      <c r="F260" s="76" t="n"/>
      <c r="G260" s="76" t="n"/>
    </row>
    <row r="261" ht="15" customHeight="1">
      <c r="A261" s="76" t="n"/>
      <c r="B261" s="76" t="n"/>
      <c r="C261" s="76" t="n"/>
      <c r="D261" s="76" t="n"/>
      <c r="E261" s="76" t="n"/>
      <c r="F261" s="76" t="n"/>
      <c r="G261" s="76" t="n"/>
    </row>
    <row r="262" ht="15" customHeight="1">
      <c r="A262" s="76" t="n"/>
      <c r="B262" s="76" t="n"/>
      <c r="C262" s="76" t="n"/>
      <c r="D262" s="76" t="n"/>
      <c r="E262" s="76" t="n"/>
      <c r="F262" s="76" t="n"/>
      <c r="G262" s="76" t="n"/>
    </row>
    <row r="263" ht="15" customHeight="1">
      <c r="A263" s="76" t="n"/>
      <c r="B263" s="76" t="n"/>
      <c r="C263" s="76" t="n"/>
      <c r="D263" s="76" t="n"/>
      <c r="E263" s="76" t="n"/>
      <c r="F263" s="76" t="n"/>
      <c r="G263" s="76" t="n"/>
    </row>
    <row r="264" ht="15" customHeight="1">
      <c r="A264" s="76" t="n"/>
      <c r="B264" s="76" t="n"/>
      <c r="C264" s="76" t="n"/>
      <c r="D264" s="76" t="n"/>
      <c r="E264" s="76" t="n"/>
      <c r="F264" s="76" t="n"/>
      <c r="G264" s="76" t="n"/>
    </row>
    <row r="265" ht="15" customHeight="1">
      <c r="A265" s="76" t="n"/>
      <c r="B265" s="76" t="n"/>
      <c r="C265" s="76" t="n"/>
      <c r="D265" s="76" t="n"/>
      <c r="E265" s="76" t="n"/>
      <c r="F265" s="76" t="n"/>
      <c r="G265" s="76" t="n"/>
    </row>
    <row r="266" ht="15" customHeight="1">
      <c r="A266" s="76" t="n"/>
      <c r="B266" s="76" t="n"/>
      <c r="C266" s="76" t="n"/>
      <c r="D266" s="76" t="n"/>
      <c r="E266" s="76" t="n"/>
      <c r="F266" s="76" t="n"/>
      <c r="G266" s="76" t="n"/>
    </row>
    <row r="267" ht="15" customHeight="1">
      <c r="A267" s="76" t="n"/>
      <c r="B267" s="76" t="n"/>
      <c r="C267" s="76" t="n"/>
      <c r="D267" s="76" t="n"/>
      <c r="E267" s="76" t="n"/>
      <c r="F267" s="76" t="n"/>
      <c r="G267" s="76" t="n"/>
    </row>
    <row r="268" ht="15" customHeight="1">
      <c r="A268" s="76" t="n"/>
      <c r="B268" s="76" t="n"/>
      <c r="C268" s="76" t="n"/>
      <c r="D268" s="76" t="n"/>
      <c r="E268" s="76" t="n"/>
      <c r="F268" s="76" t="n"/>
      <c r="G268" s="76" t="n"/>
    </row>
    <row r="269" ht="15" customHeight="1">
      <c r="A269" s="76" t="n"/>
      <c r="B269" s="76" t="n"/>
      <c r="C269" s="76" t="n"/>
      <c r="D269" s="76" t="n"/>
      <c r="E269" s="76" t="n"/>
      <c r="F269" s="76" t="n"/>
      <c r="G269" s="76" t="n"/>
    </row>
    <row r="270" ht="15" customHeight="1">
      <c r="A270" s="76" t="n"/>
      <c r="B270" s="76" t="n"/>
      <c r="C270" s="76" t="n"/>
      <c r="D270" s="76" t="n"/>
      <c r="E270" s="76" t="n"/>
      <c r="F270" s="76" t="n"/>
      <c r="G270" s="76" t="n"/>
    </row>
    <row r="271" ht="15" customHeight="1">
      <c r="A271" s="76" t="n"/>
      <c r="B271" s="76" t="n"/>
      <c r="C271" s="76" t="n"/>
      <c r="D271" s="76" t="n"/>
      <c r="E271" s="76" t="n"/>
      <c r="F271" s="76" t="n"/>
      <c r="G271" s="76" t="n"/>
    </row>
    <row r="272" ht="15" customHeight="1">
      <c r="A272" s="76" t="n"/>
      <c r="B272" s="76" t="n"/>
      <c r="C272" s="76" t="n"/>
      <c r="D272" s="76" t="n"/>
      <c r="E272" s="76" t="n"/>
      <c r="F272" s="76" t="n"/>
      <c r="G272" s="76" t="n"/>
    </row>
    <row r="273" ht="15" customHeight="1">
      <c r="A273" s="76" t="n"/>
      <c r="B273" s="76" t="n"/>
      <c r="C273" s="76" t="n"/>
      <c r="D273" s="76" t="n"/>
      <c r="E273" s="76" t="n"/>
      <c r="F273" s="76" t="n"/>
      <c r="G273" s="76" t="n"/>
    </row>
    <row r="274" ht="15" customHeight="1">
      <c r="A274" s="76" t="n"/>
      <c r="B274" s="76" t="n"/>
      <c r="C274" s="76" t="n"/>
      <c r="D274" s="76" t="n"/>
      <c r="E274" s="76" t="n"/>
      <c r="F274" s="76" t="n"/>
      <c r="G274" s="76" t="n"/>
    </row>
    <row r="275" ht="15" customHeight="1">
      <c r="A275" s="76" t="n"/>
      <c r="B275" s="76" t="n"/>
      <c r="C275" s="76" t="n"/>
      <c r="D275" s="76" t="n"/>
      <c r="E275" s="76" t="n"/>
      <c r="F275" s="76" t="n"/>
      <c r="G275" s="76" t="n"/>
    </row>
    <row r="276" ht="15" customHeight="1">
      <c r="A276" s="76" t="n"/>
      <c r="B276" s="76" t="n"/>
      <c r="C276" s="76" t="n"/>
      <c r="D276" s="76" t="n"/>
      <c r="E276" s="76" t="n"/>
      <c r="F276" s="76" t="n"/>
      <c r="G276" s="76" t="n"/>
    </row>
    <row r="277" ht="15" customHeight="1">
      <c r="A277" s="76" t="n"/>
      <c r="B277" s="76" t="n"/>
      <c r="C277" s="76" t="n"/>
      <c r="D277" s="76" t="n"/>
      <c r="E277" s="76" t="n"/>
      <c r="F277" s="76" t="n"/>
      <c r="G277" s="76" t="n"/>
    </row>
    <row r="278" ht="15" customHeight="1">
      <c r="A278" s="76" t="n"/>
      <c r="B278" s="76" t="n"/>
      <c r="C278" s="76" t="n"/>
      <c r="D278" s="76" t="n"/>
      <c r="E278" s="76" t="n"/>
      <c r="F278" s="76" t="n"/>
      <c r="G278" s="76" t="n"/>
    </row>
    <row r="279" ht="15" customHeight="1">
      <c r="A279" s="76" t="n"/>
      <c r="B279" s="76" t="n"/>
      <c r="C279" s="76" t="n"/>
      <c r="D279" s="76" t="n"/>
      <c r="E279" s="76" t="n"/>
      <c r="F279" s="76" t="n"/>
      <c r="G279" s="76" t="n"/>
    </row>
    <row r="280" ht="15" customHeight="1">
      <c r="A280" s="76" t="n"/>
      <c r="B280" s="76" t="n"/>
      <c r="C280" s="76" t="n"/>
      <c r="D280" s="76" t="n"/>
      <c r="E280" s="76" t="n"/>
      <c r="F280" s="76" t="n"/>
      <c r="G280" s="76" t="n"/>
    </row>
    <row r="281" ht="15" customHeight="1">
      <c r="A281" s="76" t="n"/>
      <c r="B281" s="76" t="n"/>
      <c r="C281" s="76" t="n"/>
      <c r="D281" s="76" t="n"/>
      <c r="E281" s="76" t="n"/>
      <c r="F281" s="76" t="n"/>
      <c r="G281" s="76" t="n"/>
    </row>
    <row r="282" ht="15" customHeight="1">
      <c r="A282" s="76" t="n"/>
      <c r="B282" s="76" t="n"/>
      <c r="C282" s="76" t="n"/>
      <c r="D282" s="76" t="n"/>
      <c r="E282" s="76" t="n"/>
      <c r="F282" s="76" t="n"/>
      <c r="G282" s="76" t="n"/>
    </row>
    <row r="283" ht="15" customHeight="1">
      <c r="A283" s="76" t="n"/>
      <c r="B283" s="76" t="n"/>
      <c r="C283" s="76" t="n"/>
      <c r="D283" s="76" t="n"/>
      <c r="E283" s="76" t="n"/>
      <c r="F283" s="76" t="n"/>
      <c r="G283" s="76" t="n"/>
    </row>
    <row r="284" ht="15" customHeight="1">
      <c r="A284" s="76" t="n"/>
      <c r="B284" s="76" t="n"/>
      <c r="C284" s="76" t="n"/>
      <c r="D284" s="76" t="n"/>
      <c r="E284" s="76" t="n"/>
      <c r="F284" s="76" t="n"/>
      <c r="G284" s="76" t="n"/>
    </row>
    <row r="285" ht="15" customHeight="1">
      <c r="A285" s="76" t="n"/>
      <c r="B285" s="76" t="n"/>
      <c r="C285" s="76" t="n"/>
      <c r="D285" s="76" t="n"/>
      <c r="E285" s="76" t="n"/>
      <c r="F285" s="76" t="n"/>
      <c r="G285" s="76" t="n"/>
    </row>
    <row r="286" ht="15" customHeight="1">
      <c r="A286" s="76" t="n"/>
      <c r="B286" s="76" t="n"/>
      <c r="C286" s="76" t="n"/>
      <c r="D286" s="76" t="n"/>
      <c r="E286" s="76" t="n"/>
      <c r="F286" s="76" t="n"/>
      <c r="G286" s="76" t="n"/>
    </row>
    <row r="287" ht="15" customHeight="1">
      <c r="A287" s="76" t="n"/>
      <c r="B287" s="76" t="n"/>
      <c r="C287" s="76" t="n"/>
      <c r="D287" s="76" t="n"/>
      <c r="E287" s="76" t="n"/>
      <c r="F287" s="76" t="n"/>
      <c r="G287" s="76" t="n"/>
    </row>
    <row r="288" ht="15" customHeight="1">
      <c r="A288" s="76" t="n"/>
      <c r="B288" s="76" t="n"/>
      <c r="C288" s="76" t="n"/>
      <c r="D288" s="76" t="n"/>
      <c r="E288" s="76" t="n"/>
      <c r="F288" s="76" t="n"/>
      <c r="G288" s="76" t="n"/>
    </row>
    <row r="289" ht="15" customHeight="1">
      <c r="A289" s="76" t="n"/>
      <c r="B289" s="76" t="n"/>
      <c r="C289" s="76" t="n"/>
      <c r="D289" s="76" t="n"/>
      <c r="E289" s="76" t="n"/>
      <c r="F289" s="76" t="n"/>
      <c r="G289" s="76" t="n"/>
    </row>
    <row r="290" ht="15" customHeight="1">
      <c r="A290" s="76" t="n"/>
      <c r="B290" s="76" t="n"/>
      <c r="C290" s="76" t="n"/>
      <c r="D290" s="76" t="n"/>
      <c r="E290" s="76" t="n"/>
      <c r="F290" s="76" t="n"/>
      <c r="G290" s="76" t="n"/>
    </row>
    <row r="291" ht="15" customHeight="1">
      <c r="A291" s="76" t="n"/>
      <c r="B291" s="76" t="n"/>
      <c r="C291" s="76" t="n"/>
      <c r="D291" s="76" t="n"/>
      <c r="E291" s="76" t="n"/>
      <c r="F291" s="76" t="n"/>
      <c r="G291" s="76" t="n"/>
    </row>
    <row r="292" ht="15" customHeight="1">
      <c r="A292" s="76" t="n"/>
      <c r="B292" s="76" t="n"/>
      <c r="C292" s="76" t="n"/>
      <c r="D292" s="76" t="n"/>
      <c r="E292" s="76" t="n"/>
      <c r="F292" s="76" t="n"/>
      <c r="G292" s="76" t="n"/>
    </row>
    <row r="293" ht="15" customHeight="1">
      <c r="A293" s="76" t="n"/>
      <c r="B293" s="76" t="n"/>
      <c r="C293" s="76" t="n"/>
      <c r="D293" s="76" t="n"/>
      <c r="E293" s="76" t="n"/>
      <c r="F293" s="76" t="n"/>
      <c r="G293" s="76" t="n"/>
    </row>
    <row r="294" ht="15" customHeight="1">
      <c r="A294" s="76" t="n"/>
      <c r="B294" s="76" t="n"/>
      <c r="C294" s="76" t="n"/>
      <c r="D294" s="76" t="n"/>
      <c r="E294" s="76" t="n"/>
      <c r="F294" s="76" t="n"/>
      <c r="G294" s="76" t="n"/>
    </row>
    <row r="295" ht="15" customHeight="1">
      <c r="A295" s="76" t="n"/>
      <c r="B295" s="76" t="n"/>
      <c r="C295" s="76" t="n"/>
      <c r="D295" s="76" t="n"/>
      <c r="E295" s="76" t="n"/>
      <c r="F295" s="76" t="n"/>
      <c r="G295" s="76" t="n"/>
    </row>
    <row r="296" ht="15" customHeight="1">
      <c r="A296" s="76" t="n"/>
      <c r="B296" s="76" t="n"/>
      <c r="C296" s="76" t="n"/>
      <c r="D296" s="76" t="n"/>
      <c r="E296" s="76" t="n"/>
      <c r="F296" s="76" t="n"/>
      <c r="G296" s="76" t="n"/>
    </row>
    <row r="297" ht="15" customHeight="1">
      <c r="A297" s="76" t="n"/>
      <c r="B297" s="76" t="n"/>
      <c r="C297" s="76" t="n"/>
      <c r="D297" s="76" t="n"/>
      <c r="E297" s="76" t="n"/>
      <c r="F297" s="76" t="n"/>
      <c r="G297" s="76" t="n"/>
    </row>
    <row r="298" ht="15" customHeight="1">
      <c r="A298" s="76" t="n"/>
      <c r="B298" s="76" t="n"/>
      <c r="C298" s="76" t="n"/>
      <c r="D298" s="76" t="n"/>
      <c r="E298" s="76" t="n"/>
      <c r="F298" s="76" t="n"/>
      <c r="G298" s="76" t="n"/>
    </row>
    <row r="299" ht="15" customHeight="1">
      <c r="A299" s="76" t="n"/>
      <c r="B299" s="76" t="n"/>
      <c r="C299" s="76" t="n"/>
      <c r="D299" s="76" t="n"/>
      <c r="E299" s="76" t="n"/>
      <c r="F299" s="76" t="n"/>
      <c r="G299" s="76" t="n"/>
    </row>
    <row r="300" ht="15" customHeight="1">
      <c r="A300" s="76" t="n"/>
      <c r="B300" s="76" t="n"/>
      <c r="C300" s="76" t="n"/>
      <c r="D300" s="76" t="n"/>
      <c r="E300" s="76" t="n"/>
      <c r="F300" s="76" t="n"/>
      <c r="G300" s="76" t="n"/>
    </row>
    <row r="301" ht="15" customHeight="1">
      <c r="A301" s="76" t="n"/>
      <c r="B301" s="76" t="n"/>
      <c r="C301" s="76" t="n"/>
      <c r="D301" s="76" t="n"/>
      <c r="E301" s="76" t="n"/>
      <c r="F301" s="76" t="n"/>
      <c r="G301" s="76" t="n"/>
    </row>
    <row r="302" ht="15" customHeight="1">
      <c r="A302" s="76" t="n"/>
      <c r="B302" s="76" t="n"/>
      <c r="C302" s="76" t="n"/>
      <c r="D302" s="76" t="n"/>
      <c r="E302" s="76" t="n"/>
      <c r="F302" s="76" t="n"/>
      <c r="G302" s="76" t="n"/>
    </row>
    <row r="303" ht="15" customHeight="1">
      <c r="A303" s="76" t="n"/>
      <c r="B303" s="76" t="n"/>
      <c r="C303" s="76" t="n"/>
      <c r="D303" s="76" t="n"/>
      <c r="E303" s="76" t="n"/>
      <c r="F303" s="76" t="n"/>
      <c r="G303" s="76" t="n"/>
    </row>
    <row r="304" ht="15" customHeight="1">
      <c r="A304" s="76" t="n"/>
      <c r="B304" s="76" t="n"/>
      <c r="C304" s="76" t="n"/>
      <c r="D304" s="76" t="n"/>
      <c r="E304" s="76" t="n"/>
      <c r="F304" s="76" t="n"/>
      <c r="G304" s="76" t="n"/>
    </row>
    <row r="305" ht="15" customHeight="1">
      <c r="A305" s="76" t="n"/>
      <c r="B305" s="76" t="n"/>
      <c r="C305" s="76" t="n"/>
      <c r="D305" s="76" t="n"/>
      <c r="E305" s="76" t="n"/>
      <c r="F305" s="76" t="n"/>
      <c r="G305" s="76" t="n"/>
    </row>
    <row r="306" ht="15" customHeight="1">
      <c r="A306" s="76" t="n"/>
      <c r="B306" s="76" t="n"/>
      <c r="C306" s="76" t="n"/>
      <c r="D306" s="76" t="n"/>
      <c r="E306" s="76" t="n"/>
      <c r="F306" s="76" t="n"/>
      <c r="G306" s="76" t="n"/>
    </row>
    <row r="307" ht="15" customHeight="1">
      <c r="A307" s="76" t="n"/>
      <c r="B307" s="76" t="n"/>
      <c r="C307" s="76" t="n"/>
      <c r="D307" s="76" t="n"/>
      <c r="E307" s="76" t="n"/>
      <c r="F307" s="76" t="n"/>
      <c r="G307" s="76" t="n"/>
    </row>
    <row r="308" ht="15" customHeight="1">
      <c r="A308" s="76" t="n"/>
      <c r="B308" s="76" t="n"/>
      <c r="C308" s="76" t="n"/>
      <c r="D308" s="76" t="n"/>
      <c r="E308" s="76" t="n"/>
      <c r="F308" s="76" t="n"/>
      <c r="G308" s="76" t="n"/>
    </row>
    <row r="309" ht="15" customHeight="1">
      <c r="A309" s="76" t="n"/>
      <c r="B309" s="76" t="n"/>
      <c r="C309" s="76" t="n"/>
      <c r="D309" s="76" t="n"/>
      <c r="E309" s="76" t="n"/>
      <c r="F309" s="76" t="n"/>
      <c r="G309" s="76" t="n"/>
    </row>
    <row r="310" ht="15" customHeight="1">
      <c r="A310" s="76" t="n"/>
      <c r="B310" s="76" t="n"/>
      <c r="C310" s="76" t="n"/>
      <c r="D310" s="76" t="n"/>
      <c r="E310" s="76" t="n"/>
      <c r="F310" s="76" t="n"/>
      <c r="G310" s="76" t="n"/>
    </row>
    <row r="311" ht="15" customHeight="1">
      <c r="A311" s="76" t="n"/>
      <c r="B311" s="76" t="n"/>
      <c r="C311" s="76" t="n"/>
      <c r="D311" s="76" t="n"/>
      <c r="E311" s="76" t="n"/>
      <c r="F311" s="76" t="n"/>
      <c r="G311" s="76" t="n"/>
    </row>
    <row r="312" ht="15" customHeight="1">
      <c r="A312" s="76" t="n"/>
      <c r="B312" s="76" t="n"/>
      <c r="C312" s="76" t="n"/>
      <c r="D312" s="76" t="n"/>
      <c r="E312" s="76" t="n"/>
      <c r="F312" s="76" t="n"/>
      <c r="G312" s="76" t="n"/>
    </row>
    <row r="313" ht="15" customHeight="1">
      <c r="A313" s="76" t="n"/>
      <c r="B313" s="76" t="n"/>
      <c r="C313" s="76" t="n"/>
      <c r="D313" s="76" t="n"/>
      <c r="E313" s="76" t="n"/>
      <c r="F313" s="76" t="n"/>
      <c r="G313" s="76" t="n"/>
    </row>
    <row r="314" ht="15" customHeight="1">
      <c r="A314" s="76" t="n"/>
      <c r="B314" s="76" t="n"/>
      <c r="C314" s="76" t="n"/>
      <c r="D314" s="76" t="n"/>
      <c r="E314" s="76" t="n"/>
      <c r="F314" s="76" t="n"/>
      <c r="G314" s="76" t="n"/>
    </row>
    <row r="315" ht="15" customHeight="1">
      <c r="A315" s="76" t="n"/>
      <c r="B315" s="76" t="n"/>
      <c r="C315" s="76" t="n"/>
      <c r="D315" s="76" t="n"/>
      <c r="E315" s="76" t="n"/>
      <c r="F315" s="76" t="n"/>
      <c r="G315" s="76" t="n"/>
    </row>
    <row r="316" ht="15" customHeight="1">
      <c r="A316" s="76" t="n"/>
      <c r="B316" s="76" t="n"/>
      <c r="C316" s="76" t="n"/>
      <c r="D316" s="76" t="n"/>
      <c r="E316" s="76" t="n"/>
      <c r="F316" s="76" t="n"/>
      <c r="G316" s="76" t="n"/>
    </row>
    <row r="317" ht="15" customHeight="1">
      <c r="A317" s="76" t="n"/>
      <c r="B317" s="76" t="n"/>
      <c r="C317" s="76" t="n"/>
      <c r="D317" s="76" t="n"/>
      <c r="E317" s="76" t="n"/>
      <c r="F317" s="76" t="n"/>
      <c r="G317" s="76" t="n"/>
    </row>
    <row r="318" ht="15" customHeight="1">
      <c r="A318" s="76" t="n"/>
      <c r="B318" s="76" t="n"/>
      <c r="C318" s="76" t="n"/>
      <c r="D318" s="76" t="n"/>
      <c r="E318" s="76" t="n"/>
      <c r="F318" s="76" t="n"/>
      <c r="G318" s="76" t="n"/>
    </row>
    <row r="319" ht="15" customHeight="1">
      <c r="A319" s="76" t="n"/>
      <c r="B319" s="76" t="n"/>
      <c r="C319" s="76" t="n"/>
      <c r="D319" s="76" t="n"/>
      <c r="E319" s="76" t="n"/>
      <c r="F319" s="76" t="n"/>
      <c r="G319" s="76" t="n"/>
    </row>
    <row r="320" ht="15" customHeight="1">
      <c r="A320" s="76" t="n"/>
      <c r="B320" s="76" t="n"/>
      <c r="C320" s="76" t="n"/>
      <c r="D320" s="76" t="n"/>
      <c r="E320" s="76" t="n"/>
      <c r="F320" s="76" t="n"/>
      <c r="G320" s="76" t="n"/>
    </row>
    <row r="321" ht="15" customHeight="1">
      <c r="A321" s="76" t="n"/>
      <c r="B321" s="76" t="n"/>
      <c r="C321" s="76" t="n"/>
      <c r="D321" s="76" t="n"/>
      <c r="E321" s="76" t="n"/>
      <c r="F321" s="76" t="n"/>
      <c r="G321" s="76" t="n"/>
    </row>
    <row r="322" ht="15" customHeight="1">
      <c r="A322" s="76" t="n"/>
      <c r="B322" s="76" t="n"/>
      <c r="C322" s="76" t="n"/>
      <c r="D322" s="76" t="n"/>
      <c r="E322" s="76" t="n"/>
      <c r="F322" s="76" t="n"/>
      <c r="G322" s="76" t="n"/>
    </row>
    <row r="323" ht="15" customHeight="1">
      <c r="A323" s="76" t="n"/>
      <c r="B323" s="76" t="n"/>
      <c r="C323" s="76" t="n"/>
      <c r="D323" s="76" t="n"/>
      <c r="E323" s="76" t="n"/>
      <c r="F323" s="76" t="n"/>
      <c r="G323" s="76" t="n"/>
    </row>
    <row r="324" ht="15" customHeight="1">
      <c r="A324" s="76" t="n"/>
      <c r="B324" s="76" t="n"/>
      <c r="C324" s="76" t="n"/>
      <c r="D324" s="76" t="n"/>
      <c r="E324" s="76" t="n"/>
      <c r="F324" s="76" t="n"/>
      <c r="G324" s="76" t="n"/>
    </row>
    <row r="325" ht="15" customHeight="1">
      <c r="A325" s="76" t="n"/>
      <c r="B325" s="76" t="n"/>
      <c r="C325" s="76" t="n"/>
      <c r="D325" s="76" t="n"/>
      <c r="E325" s="76" t="n"/>
      <c r="F325" s="76" t="n"/>
      <c r="G325" s="76" t="n"/>
    </row>
    <row r="326" ht="15" customHeight="1">
      <c r="A326" s="76" t="n"/>
      <c r="B326" s="76" t="n"/>
      <c r="C326" s="76" t="n"/>
      <c r="D326" s="76" t="n"/>
      <c r="E326" s="76" t="n"/>
      <c r="F326" s="76" t="n"/>
      <c r="G326" s="76" t="n"/>
    </row>
    <row r="327" ht="15" customHeight="1">
      <c r="A327" s="76" t="n"/>
      <c r="B327" s="76" t="n"/>
      <c r="C327" s="76" t="n"/>
      <c r="D327" s="76" t="n"/>
      <c r="E327" s="76" t="n"/>
      <c r="F327" s="76" t="n"/>
      <c r="G327" s="76" t="n"/>
    </row>
    <row r="328" ht="15" customHeight="1">
      <c r="A328" s="76" t="n"/>
      <c r="B328" s="76" t="n"/>
      <c r="C328" s="76" t="n"/>
      <c r="D328" s="76" t="n"/>
      <c r="E328" s="76" t="n"/>
      <c r="F328" s="76" t="n"/>
      <c r="G328" s="76" t="n"/>
    </row>
    <row r="329" ht="15" customHeight="1">
      <c r="A329" s="76" t="n"/>
      <c r="B329" s="76" t="n"/>
      <c r="C329" s="76" t="n"/>
      <c r="D329" s="76" t="n"/>
      <c r="E329" s="76" t="n"/>
      <c r="F329" s="76" t="n"/>
      <c r="G329" s="76" t="n"/>
    </row>
    <row r="330" ht="15" customHeight="1">
      <c r="A330" s="76" t="n"/>
      <c r="B330" s="76" t="n"/>
      <c r="C330" s="76" t="n"/>
      <c r="D330" s="76" t="n"/>
      <c r="E330" s="76" t="n"/>
      <c r="F330" s="76" t="n"/>
      <c r="G330" s="76" t="n"/>
    </row>
    <row r="331" ht="15" customHeight="1">
      <c r="A331" s="76" t="n"/>
      <c r="B331" s="76" t="n"/>
      <c r="C331" s="76" t="n"/>
      <c r="D331" s="76" t="n"/>
      <c r="E331" s="76" t="n"/>
      <c r="F331" s="76" t="n"/>
      <c r="G331" s="76" t="n"/>
    </row>
    <row r="332" ht="15" customHeight="1">
      <c r="A332" s="76" t="n"/>
      <c r="B332" s="76" t="n"/>
      <c r="C332" s="76" t="n"/>
      <c r="D332" s="76" t="n"/>
      <c r="E332" s="76" t="n"/>
      <c r="F332" s="76" t="n"/>
      <c r="G332" s="76" t="n"/>
    </row>
    <row r="333" ht="15" customHeight="1">
      <c r="A333" s="76" t="n"/>
      <c r="B333" s="76" t="n"/>
      <c r="C333" s="76" t="n"/>
      <c r="D333" s="76" t="n"/>
      <c r="E333" s="76" t="n"/>
      <c r="F333" s="76" t="n"/>
      <c r="G333" s="76" t="n"/>
    </row>
    <row r="334" ht="15" customHeight="1">
      <c r="A334" s="76" t="n"/>
      <c r="B334" s="76" t="n"/>
      <c r="C334" s="76" t="n"/>
      <c r="D334" s="76" t="n"/>
      <c r="E334" s="76" t="n"/>
      <c r="F334" s="76" t="n"/>
      <c r="G334" s="76" t="n"/>
    </row>
    <row r="335" ht="15" customHeight="1">
      <c r="A335" s="76" t="n"/>
      <c r="B335" s="76" t="n"/>
      <c r="C335" s="76" t="n"/>
      <c r="D335" s="76" t="n"/>
      <c r="E335" s="76" t="n"/>
      <c r="F335" s="76" t="n"/>
      <c r="G335" s="76" t="n"/>
    </row>
    <row r="336" ht="15" customHeight="1">
      <c r="A336" s="76" t="n"/>
      <c r="B336" s="76" t="n"/>
      <c r="C336" s="76" t="n"/>
      <c r="D336" s="76" t="n"/>
      <c r="E336" s="76" t="n"/>
      <c r="F336" s="76" t="n"/>
      <c r="G336" s="76" t="n"/>
    </row>
    <row r="337" ht="15" customHeight="1">
      <c r="A337" s="76" t="n"/>
      <c r="B337" s="76" t="n"/>
      <c r="C337" s="76" t="n"/>
      <c r="D337" s="76" t="n"/>
      <c r="E337" s="76" t="n"/>
      <c r="F337" s="76" t="n"/>
      <c r="G337" s="76" t="n"/>
    </row>
    <row r="338" ht="15" customHeight="1">
      <c r="A338" s="76" t="n"/>
      <c r="B338" s="76" t="n"/>
      <c r="C338" s="76" t="n"/>
      <c r="D338" s="76" t="n"/>
      <c r="E338" s="76" t="n"/>
      <c r="F338" s="76" t="n"/>
      <c r="G338" s="76" t="n"/>
    </row>
    <row r="339" ht="15" customHeight="1">
      <c r="A339" s="76" t="n"/>
      <c r="B339" s="76" t="n"/>
      <c r="C339" s="76" t="n"/>
      <c r="D339" s="76" t="n"/>
      <c r="E339" s="76" t="n"/>
      <c r="F339" s="76" t="n"/>
      <c r="G339" s="76" t="n"/>
    </row>
    <row r="340" ht="15" customHeight="1">
      <c r="A340" s="76" t="n"/>
      <c r="B340" s="76" t="n"/>
      <c r="C340" s="76" t="n"/>
      <c r="D340" s="76" t="n"/>
      <c r="E340" s="76" t="n"/>
      <c r="F340" s="76" t="n"/>
      <c r="G340" s="76" t="n"/>
    </row>
    <row r="341" ht="15" customHeight="1">
      <c r="A341" s="76" t="n"/>
      <c r="B341" s="76" t="n"/>
      <c r="C341" s="76" t="n"/>
      <c r="D341" s="76" t="n"/>
      <c r="E341" s="76" t="n"/>
      <c r="F341" s="76" t="n"/>
      <c r="G341" s="76" t="n"/>
    </row>
    <row r="342" ht="15" customHeight="1">
      <c r="A342" s="76" t="n"/>
      <c r="B342" s="76" t="n"/>
      <c r="C342" s="76" t="n"/>
      <c r="D342" s="76" t="n"/>
      <c r="E342" s="76" t="n"/>
      <c r="F342" s="76" t="n"/>
      <c r="G342" s="76" t="n"/>
    </row>
    <row r="343" ht="15" customHeight="1">
      <c r="A343" s="76" t="n"/>
      <c r="B343" s="76" t="n"/>
      <c r="C343" s="76" t="n"/>
      <c r="D343" s="76" t="n"/>
      <c r="E343" s="76" t="n"/>
      <c r="F343" s="76" t="n"/>
      <c r="G343" s="76" t="n"/>
    </row>
    <row r="344" ht="15" customHeight="1">
      <c r="A344" s="76" t="n"/>
      <c r="B344" s="76" t="n"/>
      <c r="C344" s="76" t="n"/>
      <c r="D344" s="76" t="n"/>
      <c r="E344" s="76" t="n"/>
      <c r="F344" s="76" t="n"/>
      <c r="G344" s="76" t="n"/>
    </row>
    <row r="345" ht="15" customHeight="1">
      <c r="A345" s="76" t="n"/>
      <c r="B345" s="76" t="n"/>
      <c r="C345" s="76" t="n"/>
      <c r="D345" s="76" t="n"/>
      <c r="E345" s="76" t="n"/>
      <c r="F345" s="76" t="n"/>
      <c r="G345" s="76" t="n"/>
    </row>
    <row r="346" ht="15" customHeight="1">
      <c r="A346" s="76" t="n"/>
      <c r="B346" s="76" t="n"/>
      <c r="C346" s="76" t="n"/>
      <c r="D346" s="76" t="n"/>
      <c r="E346" s="76" t="n"/>
      <c r="F346" s="76" t="n"/>
      <c r="G346" s="76" t="n"/>
    </row>
    <row r="347" ht="15" customHeight="1">
      <c r="A347" s="76" t="n"/>
      <c r="B347" s="76" t="n"/>
      <c r="C347" s="76" t="n"/>
      <c r="D347" s="76" t="n"/>
      <c r="E347" s="76" t="n"/>
      <c r="F347" s="76" t="n"/>
      <c r="G347" s="76" t="n"/>
    </row>
    <row r="348" ht="15" customHeight="1">
      <c r="A348" s="76" t="n"/>
      <c r="B348" s="76" t="n"/>
      <c r="C348" s="76" t="n"/>
      <c r="D348" s="76" t="n"/>
      <c r="E348" s="76" t="n"/>
      <c r="F348" s="76" t="n"/>
      <c r="G348" s="76" t="n"/>
    </row>
    <row r="349" ht="15" customHeight="1">
      <c r="A349" s="76" t="n"/>
      <c r="B349" s="76" t="n"/>
      <c r="C349" s="76" t="n"/>
      <c r="D349" s="76" t="n"/>
      <c r="E349" s="76" t="n"/>
      <c r="F349" s="76" t="n"/>
      <c r="G349" s="76" t="n"/>
    </row>
    <row r="350" ht="15" customHeight="1">
      <c r="A350" s="76" t="n"/>
      <c r="B350" s="76" t="n"/>
      <c r="C350" s="76" t="n"/>
      <c r="D350" s="76" t="n"/>
      <c r="E350" s="76" t="n"/>
      <c r="F350" s="76" t="n"/>
      <c r="G350" s="76" t="n"/>
    </row>
    <row r="351" ht="15" customHeight="1">
      <c r="A351" s="76" t="n"/>
      <c r="B351" s="76" t="n"/>
      <c r="C351" s="76" t="n"/>
      <c r="D351" s="76" t="n"/>
      <c r="E351" s="76" t="n"/>
      <c r="F351" s="76" t="n"/>
      <c r="G351" s="76" t="n"/>
    </row>
    <row r="352" ht="15" customHeight="1">
      <c r="A352" s="76" t="n"/>
      <c r="B352" s="76" t="n"/>
      <c r="C352" s="76" t="n"/>
      <c r="D352" s="76" t="n"/>
      <c r="E352" s="76" t="n"/>
      <c r="F352" s="76" t="n"/>
      <c r="G352" s="76" t="n"/>
    </row>
    <row r="353" ht="15" customHeight="1">
      <c r="A353" s="76" t="n"/>
      <c r="B353" s="76" t="n"/>
      <c r="C353" s="76" t="n"/>
      <c r="D353" s="76" t="n"/>
      <c r="E353" s="76" t="n"/>
      <c r="F353" s="76" t="n"/>
      <c r="G353" s="76" t="n"/>
    </row>
    <row r="354" ht="15" customHeight="1">
      <c r="A354" s="76" t="n"/>
      <c r="B354" s="76" t="n"/>
      <c r="C354" s="76" t="n"/>
      <c r="D354" s="76" t="n"/>
      <c r="E354" s="76" t="n"/>
      <c r="F354" s="76" t="n"/>
      <c r="G354" s="76" t="n"/>
    </row>
    <row r="355" ht="15" customHeight="1">
      <c r="A355" s="76" t="n"/>
      <c r="B355" s="76" t="n"/>
      <c r="C355" s="76" t="n"/>
      <c r="D355" s="76" t="n"/>
      <c r="E355" s="76" t="n"/>
      <c r="F355" s="76" t="n"/>
      <c r="G355" s="76" t="n"/>
    </row>
    <row r="356" ht="15" customHeight="1">
      <c r="A356" s="76" t="n"/>
      <c r="B356" s="76" t="n"/>
      <c r="C356" s="76" t="n"/>
      <c r="D356" s="76" t="n"/>
      <c r="E356" s="76" t="n"/>
      <c r="F356" s="76" t="n"/>
      <c r="G356" s="76" t="n"/>
    </row>
    <row r="357" ht="15" customHeight="1">
      <c r="A357" s="76" t="n"/>
      <c r="B357" s="76" t="n"/>
      <c r="C357" s="76" t="n"/>
      <c r="D357" s="76" t="n"/>
      <c r="E357" s="76" t="n"/>
      <c r="F357" s="76" t="n"/>
      <c r="G357" s="76" t="n"/>
    </row>
    <row r="358" ht="15" customHeight="1">
      <c r="A358" s="76" t="n"/>
      <c r="B358" s="76" t="n"/>
      <c r="C358" s="76" t="n"/>
      <c r="D358" s="76" t="n"/>
      <c r="E358" s="76" t="n"/>
      <c r="F358" s="76" t="n"/>
      <c r="G358" s="76" t="n"/>
    </row>
    <row r="359" ht="15" customHeight="1">
      <c r="A359" s="76" t="n"/>
      <c r="B359" s="76" t="n"/>
      <c r="C359" s="76" t="n"/>
      <c r="D359" s="76" t="n"/>
      <c r="E359" s="76" t="n"/>
      <c r="F359" s="76" t="n"/>
      <c r="G359" s="76" t="n"/>
    </row>
    <row r="360" ht="15" customHeight="1">
      <c r="A360" s="76" t="n"/>
      <c r="B360" s="76" t="n"/>
      <c r="C360" s="76" t="n"/>
      <c r="D360" s="76" t="n"/>
      <c r="E360" s="76" t="n"/>
      <c r="F360" s="76" t="n"/>
      <c r="G360" s="76" t="n"/>
    </row>
    <row r="361" ht="15" customHeight="1">
      <c r="A361" s="76" t="n"/>
      <c r="B361" s="76" t="n"/>
      <c r="C361" s="76" t="n"/>
      <c r="D361" s="76" t="n"/>
      <c r="E361" s="76" t="n"/>
      <c r="F361" s="76" t="n"/>
      <c r="G361" s="76" t="n"/>
    </row>
    <row r="362" ht="15" customHeight="1">
      <c r="A362" s="76" t="n"/>
      <c r="B362" s="76" t="n"/>
      <c r="C362" s="76" t="n"/>
      <c r="D362" s="76" t="n"/>
      <c r="E362" s="76" t="n"/>
      <c r="F362" s="76" t="n"/>
      <c r="G362" s="76" t="n"/>
    </row>
    <row r="363" ht="15" customHeight="1">
      <c r="A363" s="76" t="n"/>
      <c r="B363" s="76" t="n"/>
      <c r="C363" s="76" t="n"/>
      <c r="D363" s="76" t="n"/>
      <c r="E363" s="76" t="n"/>
      <c r="F363" s="76" t="n"/>
      <c r="G363" s="76" t="n"/>
    </row>
    <row r="364" ht="15" customHeight="1">
      <c r="A364" s="76" t="n"/>
      <c r="B364" s="76" t="n"/>
      <c r="C364" s="76" t="n"/>
      <c r="D364" s="76" t="n"/>
      <c r="E364" s="76" t="n"/>
      <c r="F364" s="76" t="n"/>
      <c r="G364" s="76" t="n"/>
    </row>
    <row r="365" ht="15" customHeight="1">
      <c r="A365" s="76" t="n"/>
      <c r="B365" s="76" t="n"/>
      <c r="C365" s="76" t="n"/>
      <c r="D365" s="76" t="n"/>
      <c r="E365" s="76" t="n"/>
      <c r="F365" s="76" t="n"/>
      <c r="G365" s="76" t="n"/>
    </row>
    <row r="366" ht="15" customHeight="1">
      <c r="A366" s="76" t="n"/>
      <c r="B366" s="76" t="n"/>
      <c r="C366" s="76" t="n"/>
      <c r="D366" s="76" t="n"/>
      <c r="E366" s="76" t="n"/>
      <c r="F366" s="76" t="n"/>
      <c r="G366" s="76" t="n"/>
    </row>
    <row r="367" ht="15" customHeight="1">
      <c r="A367" s="76" t="n"/>
      <c r="B367" s="76" t="n"/>
      <c r="C367" s="76" t="n"/>
      <c r="D367" s="76" t="n"/>
      <c r="E367" s="76" t="n"/>
      <c r="F367" s="76" t="n"/>
      <c r="G367" s="76" t="n"/>
    </row>
    <row r="368" ht="15" customHeight="1">
      <c r="A368" s="76" t="n"/>
      <c r="B368" s="76" t="n"/>
      <c r="C368" s="76" t="n"/>
      <c r="D368" s="76" t="n"/>
      <c r="E368" s="76" t="n"/>
      <c r="F368" s="76" t="n"/>
      <c r="G368" s="76" t="n"/>
    </row>
    <row r="369" ht="15" customHeight="1">
      <c r="A369" s="76" t="n"/>
      <c r="B369" s="76" t="n"/>
      <c r="C369" s="76" t="n"/>
      <c r="D369" s="76" t="n"/>
      <c r="E369" s="76" t="n"/>
      <c r="F369" s="76" t="n"/>
      <c r="G369" s="76" t="n"/>
    </row>
    <row r="370" ht="15" customHeight="1">
      <c r="A370" s="76" t="n"/>
      <c r="B370" s="76" t="n"/>
      <c r="C370" s="76" t="n"/>
      <c r="D370" s="76" t="n"/>
      <c r="E370" s="76" t="n"/>
      <c r="F370" s="76" t="n"/>
      <c r="G370" s="76" t="n"/>
    </row>
    <row r="371" ht="15" customHeight="1">
      <c r="A371" s="76" t="n"/>
      <c r="B371" s="76" t="n"/>
      <c r="C371" s="76" t="n"/>
      <c r="D371" s="76" t="n"/>
      <c r="E371" s="76" t="n"/>
      <c r="F371" s="76" t="n"/>
      <c r="G371" s="76" t="n"/>
    </row>
    <row r="372" ht="15" customHeight="1">
      <c r="A372" s="76" t="n"/>
      <c r="B372" s="76" t="n"/>
      <c r="C372" s="76" t="n"/>
      <c r="D372" s="76" t="n"/>
      <c r="E372" s="76" t="n"/>
      <c r="F372" s="76" t="n"/>
      <c r="G372" s="76" t="n"/>
    </row>
    <row r="373" ht="15" customHeight="1">
      <c r="A373" s="76" t="n"/>
      <c r="B373" s="76" t="n"/>
      <c r="C373" s="76" t="n"/>
      <c r="D373" s="76" t="n"/>
      <c r="E373" s="76" t="n"/>
      <c r="F373" s="76" t="n"/>
      <c r="G373" s="76" t="n"/>
    </row>
    <row r="374" ht="15" customHeight="1">
      <c r="A374" s="76" t="n"/>
      <c r="B374" s="76" t="n"/>
      <c r="C374" s="76" t="n"/>
      <c r="D374" s="76" t="n"/>
      <c r="E374" s="76" t="n"/>
      <c r="F374" s="76" t="n"/>
      <c r="G374" s="76" t="n"/>
    </row>
    <row r="375" ht="15" customHeight="1">
      <c r="A375" s="76" t="n"/>
      <c r="B375" s="76" t="n"/>
      <c r="C375" s="76" t="n"/>
      <c r="D375" s="76" t="n"/>
      <c r="E375" s="76" t="n"/>
      <c r="F375" s="76" t="n"/>
      <c r="G375" s="76" t="n"/>
    </row>
    <row r="376" ht="15" customHeight="1">
      <c r="A376" s="76" t="n"/>
      <c r="B376" s="76" t="n"/>
      <c r="C376" s="76" t="n"/>
      <c r="D376" s="76" t="n"/>
      <c r="E376" s="76" t="n"/>
      <c r="F376" s="76" t="n"/>
      <c r="G376" s="76" t="n"/>
    </row>
    <row r="377" ht="15" customHeight="1">
      <c r="A377" s="76" t="n"/>
      <c r="B377" s="76" t="n"/>
      <c r="C377" s="76" t="n"/>
      <c r="D377" s="76" t="n"/>
      <c r="E377" s="76" t="n"/>
      <c r="F377" s="76" t="n"/>
      <c r="G377" s="76" t="n"/>
    </row>
    <row r="378" ht="15" customHeight="1">
      <c r="A378" s="76" t="n"/>
      <c r="B378" s="76" t="n"/>
      <c r="C378" s="76" t="n"/>
      <c r="D378" s="76" t="n"/>
      <c r="E378" s="76" t="n"/>
      <c r="F378" s="76" t="n"/>
      <c r="G378" s="76" t="n"/>
    </row>
    <row r="379" ht="15" customHeight="1">
      <c r="A379" s="76" t="n"/>
      <c r="B379" s="76" t="n"/>
      <c r="C379" s="76" t="n"/>
      <c r="D379" s="76" t="n"/>
      <c r="E379" s="76" t="n"/>
      <c r="F379" s="76" t="n"/>
      <c r="G379" s="76" t="n"/>
    </row>
    <row r="380" ht="15" customHeight="1">
      <c r="A380" s="76" t="n"/>
      <c r="B380" s="76" t="n"/>
      <c r="C380" s="76" t="n"/>
      <c r="D380" s="76" t="n"/>
      <c r="E380" s="76" t="n"/>
      <c r="F380" s="76" t="n"/>
      <c r="G380" s="76" t="n"/>
    </row>
    <row r="381" ht="15" customHeight="1">
      <c r="A381" s="76" t="n"/>
      <c r="B381" s="76" t="n"/>
      <c r="C381" s="76" t="n"/>
      <c r="D381" s="76" t="n"/>
      <c r="E381" s="76" t="n"/>
      <c r="F381" s="76" t="n"/>
      <c r="G381" s="76" t="n"/>
    </row>
    <row r="382" ht="15" customHeight="1">
      <c r="A382" s="76" t="n"/>
      <c r="B382" s="76" t="n"/>
      <c r="C382" s="76" t="n"/>
      <c r="D382" s="76" t="n"/>
      <c r="E382" s="76" t="n"/>
      <c r="F382" s="76" t="n"/>
      <c r="G382" s="76" t="n"/>
    </row>
    <row r="383" ht="15" customHeight="1">
      <c r="A383" s="76" t="n"/>
      <c r="B383" s="76" t="n"/>
      <c r="C383" s="76" t="n"/>
      <c r="D383" s="76" t="n"/>
      <c r="E383" s="76" t="n"/>
      <c r="F383" s="76" t="n"/>
      <c r="G383" s="76" t="n"/>
    </row>
    <row r="384" ht="15" customHeight="1">
      <c r="A384" s="76" t="n"/>
      <c r="B384" s="76" t="n"/>
      <c r="C384" s="76" t="n"/>
      <c r="D384" s="76" t="n"/>
      <c r="E384" s="76" t="n"/>
      <c r="F384" s="76" t="n"/>
      <c r="G384" s="76" t="n"/>
    </row>
    <row r="385" ht="15" customHeight="1">
      <c r="A385" s="76" t="n"/>
      <c r="B385" s="76" t="n"/>
      <c r="C385" s="76" t="n"/>
      <c r="D385" s="76" t="n"/>
      <c r="E385" s="76" t="n"/>
      <c r="F385" s="76" t="n"/>
      <c r="G385" s="76" t="n"/>
    </row>
    <row r="386" ht="15" customHeight="1">
      <c r="A386" s="76" t="n"/>
      <c r="B386" s="76" t="n"/>
      <c r="C386" s="76" t="n"/>
      <c r="D386" s="76" t="n"/>
      <c r="E386" s="76" t="n"/>
      <c r="F386" s="76" t="n"/>
      <c r="G386" s="76" t="n"/>
    </row>
    <row r="387" ht="15" customHeight="1">
      <c r="A387" s="76" t="n"/>
      <c r="B387" s="76" t="n"/>
      <c r="C387" s="76" t="n"/>
      <c r="D387" s="76" t="n"/>
      <c r="E387" s="76" t="n"/>
      <c r="F387" s="76" t="n"/>
      <c r="G387" s="76" t="n"/>
    </row>
    <row r="388" ht="15" customHeight="1">
      <c r="A388" s="76" t="n"/>
      <c r="B388" s="76" t="n"/>
      <c r="C388" s="76" t="n"/>
      <c r="D388" s="76" t="n"/>
      <c r="E388" s="76" t="n"/>
      <c r="F388" s="76" t="n"/>
      <c r="G388" s="76" t="n"/>
    </row>
    <row r="389" ht="15" customHeight="1">
      <c r="A389" s="76" t="n"/>
      <c r="B389" s="76" t="n"/>
      <c r="C389" s="76" t="n"/>
      <c r="D389" s="76" t="n"/>
      <c r="E389" s="76" t="n"/>
      <c r="F389" s="76" t="n"/>
      <c r="G389" s="76" t="n"/>
    </row>
    <row r="390" ht="15" customHeight="1">
      <c r="A390" s="76" t="n"/>
      <c r="B390" s="76" t="n"/>
      <c r="C390" s="76" t="n"/>
      <c r="D390" s="76" t="n"/>
      <c r="E390" s="76" t="n"/>
      <c r="F390" s="76" t="n"/>
      <c r="G390" s="76" t="n"/>
    </row>
    <row r="391" ht="15" customHeight="1">
      <c r="A391" s="76" t="n"/>
      <c r="B391" s="76" t="n"/>
      <c r="C391" s="76" t="n"/>
      <c r="D391" s="76" t="n"/>
      <c r="E391" s="76" t="n"/>
      <c r="F391" s="76" t="n"/>
      <c r="G391" s="76" t="n"/>
    </row>
    <row r="392" ht="15" customHeight="1">
      <c r="A392" s="76" t="n"/>
      <c r="B392" s="76" t="n"/>
      <c r="C392" s="76" t="n"/>
      <c r="D392" s="76" t="n"/>
      <c r="E392" s="76" t="n"/>
      <c r="F392" s="76" t="n"/>
      <c r="G392" s="76" t="n"/>
    </row>
    <row r="393" ht="15" customHeight="1">
      <c r="A393" s="76" t="n"/>
      <c r="B393" s="76" t="n"/>
      <c r="C393" s="76" t="n"/>
      <c r="D393" s="76" t="n"/>
      <c r="E393" s="76" t="n"/>
      <c r="F393" s="76" t="n"/>
      <c r="G393" s="76" t="n"/>
    </row>
    <row r="394" ht="15" customHeight="1">
      <c r="A394" s="76" t="n"/>
      <c r="B394" s="76" t="n"/>
      <c r="C394" s="76" t="n"/>
      <c r="D394" s="76" t="n"/>
      <c r="E394" s="76" t="n"/>
      <c r="F394" s="76" t="n"/>
      <c r="G394" s="76" t="n"/>
    </row>
    <row r="395" ht="15" customHeight="1">
      <c r="A395" s="76" t="n"/>
      <c r="B395" s="76" t="n"/>
      <c r="C395" s="76" t="n"/>
      <c r="D395" s="76" t="n"/>
      <c r="E395" s="76" t="n"/>
      <c r="F395" s="76" t="n"/>
      <c r="G395" s="76" t="n"/>
    </row>
    <row r="396" ht="15" customHeight="1">
      <c r="A396" s="76" t="n"/>
      <c r="B396" s="76" t="n"/>
      <c r="C396" s="76" t="n"/>
      <c r="D396" s="76" t="n"/>
      <c r="E396" s="76" t="n"/>
      <c r="F396" s="76" t="n"/>
      <c r="G396" s="76" t="n"/>
    </row>
    <row r="397" ht="15" customHeight="1">
      <c r="A397" s="76" t="n"/>
      <c r="B397" s="76" t="n"/>
      <c r="C397" s="76" t="n"/>
      <c r="D397" s="76" t="n"/>
      <c r="E397" s="76" t="n"/>
      <c r="F397" s="76" t="n"/>
      <c r="G397" s="76" t="n"/>
    </row>
    <row r="398" ht="15" customHeight="1">
      <c r="A398" s="76" t="n"/>
      <c r="B398" s="76" t="n"/>
      <c r="C398" s="76" t="n"/>
      <c r="D398" s="76" t="n"/>
      <c r="E398" s="76" t="n"/>
      <c r="F398" s="76" t="n"/>
      <c r="G398" s="76" t="n"/>
    </row>
    <row r="399" ht="15" customHeight="1">
      <c r="A399" s="76" t="n"/>
      <c r="B399" s="76" t="n"/>
      <c r="C399" s="76" t="n"/>
      <c r="D399" s="76" t="n"/>
      <c r="E399" s="76" t="n"/>
      <c r="F399" s="76" t="n"/>
      <c r="G399" s="76" t="n"/>
    </row>
    <row r="400" ht="15" customHeight="1">
      <c r="A400" s="76" t="n"/>
      <c r="B400" s="76" t="n"/>
      <c r="C400" s="76" t="n"/>
      <c r="D400" s="76" t="n"/>
      <c r="E400" s="76" t="n"/>
      <c r="F400" s="76" t="n"/>
      <c r="G400" s="76" t="n"/>
    </row>
    <row r="401" ht="15" customHeight="1">
      <c r="A401" s="76" t="n"/>
      <c r="B401" s="76" t="n"/>
      <c r="C401" s="76" t="n"/>
      <c r="D401" s="76" t="n"/>
      <c r="E401" s="76" t="n"/>
      <c r="F401" s="76" t="n"/>
      <c r="G401" s="76" t="n"/>
    </row>
    <row r="402" ht="15" customHeight="1">
      <c r="A402" s="76" t="n"/>
      <c r="B402" s="76" t="n"/>
      <c r="C402" s="76" t="n"/>
      <c r="D402" s="76" t="n"/>
      <c r="E402" s="76" t="n"/>
      <c r="F402" s="76" t="n"/>
      <c r="G402" s="76" t="n"/>
    </row>
    <row r="403" ht="15" customHeight="1">
      <c r="A403" s="76" t="n"/>
      <c r="B403" s="76" t="n"/>
      <c r="C403" s="76" t="n"/>
      <c r="D403" s="76" t="n"/>
      <c r="E403" s="76" t="n"/>
      <c r="F403" s="76" t="n"/>
      <c r="G403" s="76" t="n"/>
    </row>
    <row r="404" ht="15" customHeight="1">
      <c r="A404" s="76" t="n"/>
      <c r="B404" s="76" t="n"/>
      <c r="C404" s="76" t="n"/>
      <c r="D404" s="76" t="n"/>
      <c r="E404" s="76" t="n"/>
      <c r="F404" s="76" t="n"/>
      <c r="G404" s="76" t="n"/>
    </row>
    <row r="405" ht="15" customHeight="1">
      <c r="A405" s="76" t="n"/>
      <c r="B405" s="76" t="n"/>
      <c r="C405" s="76" t="n"/>
      <c r="D405" s="76" t="n"/>
      <c r="E405" s="76" t="n"/>
      <c r="F405" s="76" t="n"/>
      <c r="G405" s="76" t="n"/>
    </row>
    <row r="406" ht="15" customHeight="1">
      <c r="A406" s="76" t="n"/>
      <c r="B406" s="76" t="n"/>
      <c r="C406" s="76" t="n"/>
      <c r="D406" s="76" t="n"/>
      <c r="E406" s="76" t="n"/>
      <c r="F406" s="76" t="n"/>
      <c r="G406" s="76" t="n"/>
    </row>
    <row r="407" ht="15" customHeight="1">
      <c r="A407" s="76" t="n"/>
      <c r="B407" s="76" t="n"/>
      <c r="C407" s="76" t="n"/>
      <c r="D407" s="76" t="n"/>
      <c r="E407" s="76" t="n"/>
      <c r="F407" s="76" t="n"/>
      <c r="G407" s="76" t="n"/>
    </row>
    <row r="408" ht="15" customHeight="1">
      <c r="A408" s="76" t="n"/>
      <c r="B408" s="76" t="n"/>
      <c r="C408" s="76" t="n"/>
      <c r="D408" s="76" t="n"/>
      <c r="E408" s="76" t="n"/>
      <c r="F408" s="76" t="n"/>
      <c r="G408" s="76" t="n"/>
    </row>
    <row r="409" ht="15" customHeight="1">
      <c r="A409" s="76" t="n"/>
      <c r="B409" s="76" t="n"/>
      <c r="C409" s="76" t="n"/>
      <c r="D409" s="76" t="n"/>
      <c r="E409" s="76" t="n"/>
      <c r="F409" s="76" t="n"/>
      <c r="G409" s="76" t="n"/>
    </row>
    <row r="410" ht="15" customHeight="1">
      <c r="A410" s="76" t="n"/>
      <c r="B410" s="76" t="n"/>
      <c r="C410" s="76" t="n"/>
      <c r="D410" s="76" t="n"/>
      <c r="E410" s="76" t="n"/>
      <c r="F410" s="76" t="n"/>
      <c r="G410" s="76" t="n"/>
    </row>
    <row r="411" ht="15" customHeight="1">
      <c r="A411" s="76" t="n"/>
      <c r="B411" s="76" t="n"/>
      <c r="C411" s="76" t="n"/>
      <c r="D411" s="76" t="n"/>
      <c r="E411" s="76" t="n"/>
      <c r="F411" s="76" t="n"/>
      <c r="G411" s="76" t="n"/>
    </row>
    <row r="412" ht="15" customHeight="1">
      <c r="A412" s="76" t="n"/>
      <c r="B412" s="76" t="n"/>
      <c r="C412" s="76" t="n"/>
      <c r="D412" s="76" t="n"/>
      <c r="E412" s="76" t="n"/>
      <c r="F412" s="76" t="n"/>
      <c r="G412" s="76" t="n"/>
    </row>
    <row r="413" ht="15" customHeight="1">
      <c r="A413" s="76" t="n"/>
      <c r="B413" s="76" t="n"/>
      <c r="C413" s="76" t="n"/>
      <c r="D413" s="76" t="n"/>
      <c r="E413" s="76" t="n"/>
      <c r="F413" s="76" t="n"/>
      <c r="G413" s="76" t="n"/>
    </row>
    <row r="414" ht="15" customHeight="1">
      <c r="A414" s="76" t="n"/>
      <c r="B414" s="76" t="n"/>
      <c r="C414" s="76" t="n"/>
      <c r="D414" s="76" t="n"/>
      <c r="E414" s="76" t="n"/>
      <c r="F414" s="76" t="n"/>
      <c r="G414" s="76" t="n"/>
    </row>
    <row r="415" ht="15" customHeight="1">
      <c r="A415" s="76" t="n"/>
      <c r="B415" s="76" t="n"/>
      <c r="C415" s="76" t="n"/>
      <c r="D415" s="76" t="n"/>
      <c r="E415" s="76" t="n"/>
      <c r="F415" s="76" t="n"/>
      <c r="G415" s="76" t="n"/>
    </row>
    <row r="416" ht="15" customHeight="1">
      <c r="A416" s="76" t="n"/>
      <c r="B416" s="76" t="n"/>
      <c r="C416" s="76" t="n"/>
      <c r="D416" s="76" t="n"/>
      <c r="E416" s="76" t="n"/>
      <c r="F416" s="76" t="n"/>
      <c r="G416" s="76" t="n"/>
    </row>
    <row r="417" ht="15" customHeight="1">
      <c r="A417" s="76" t="n"/>
      <c r="B417" s="76" t="n"/>
      <c r="C417" s="76" t="n"/>
      <c r="D417" s="76" t="n"/>
      <c r="E417" s="76" t="n"/>
      <c r="F417" s="76" t="n"/>
      <c r="G417" s="76" t="n"/>
    </row>
    <row r="418" ht="15" customHeight="1">
      <c r="A418" s="76" t="n"/>
      <c r="B418" s="76" t="n"/>
      <c r="C418" s="76" t="n"/>
      <c r="D418" s="76" t="n"/>
      <c r="E418" s="76" t="n"/>
      <c r="F418" s="76" t="n"/>
      <c r="G418" s="76" t="n"/>
    </row>
    <row r="419" ht="15" customHeight="1">
      <c r="A419" s="76" t="n"/>
      <c r="B419" s="76" t="n"/>
      <c r="C419" s="76" t="n"/>
      <c r="D419" s="76" t="n"/>
      <c r="E419" s="76" t="n"/>
      <c r="F419" s="76" t="n"/>
      <c r="G419" s="76" t="n"/>
    </row>
    <row r="420" ht="15" customHeight="1">
      <c r="A420" s="76" t="n"/>
      <c r="B420" s="76" t="n"/>
      <c r="C420" s="76" t="n"/>
      <c r="D420" s="76" t="n"/>
      <c r="E420" s="76" t="n"/>
      <c r="F420" s="76" t="n"/>
      <c r="G420" s="76" t="n"/>
    </row>
    <row r="421" ht="15" customHeight="1">
      <c r="A421" s="76" t="n"/>
      <c r="B421" s="76" t="n"/>
      <c r="C421" s="76" t="n"/>
      <c r="D421" s="76" t="n"/>
      <c r="E421" s="76" t="n"/>
      <c r="F421" s="76" t="n"/>
      <c r="G421" s="76" t="n"/>
    </row>
    <row r="422" ht="15" customHeight="1">
      <c r="A422" s="76" t="n"/>
      <c r="B422" s="76" t="n"/>
      <c r="C422" s="76" t="n"/>
      <c r="D422" s="76" t="n"/>
      <c r="E422" s="76" t="n"/>
      <c r="F422" s="76" t="n"/>
      <c r="G422" s="76" t="n"/>
    </row>
    <row r="423" ht="15" customHeight="1">
      <c r="A423" s="76" t="n"/>
      <c r="B423" s="76" t="n"/>
      <c r="C423" s="76" t="n"/>
      <c r="D423" s="76" t="n"/>
      <c r="E423" s="76" t="n"/>
      <c r="F423" s="76" t="n"/>
      <c r="G423" s="76" t="n"/>
    </row>
    <row r="424" ht="15" customHeight="1">
      <c r="A424" s="76" t="n"/>
      <c r="B424" s="76" t="n"/>
      <c r="C424" s="76" t="n"/>
      <c r="D424" s="76" t="n"/>
      <c r="E424" s="76" t="n"/>
      <c r="F424" s="76" t="n"/>
      <c r="G424" s="76" t="n"/>
    </row>
    <row r="425" ht="15" customHeight="1">
      <c r="A425" s="76" t="n"/>
      <c r="B425" s="76" t="n"/>
      <c r="C425" s="76" t="n"/>
      <c r="D425" s="76" t="n"/>
      <c r="E425" s="76" t="n"/>
      <c r="F425" s="76" t="n"/>
      <c r="G425" s="76" t="n"/>
    </row>
    <row r="426" ht="15" customHeight="1">
      <c r="A426" s="76" t="n"/>
      <c r="B426" s="76" t="n"/>
      <c r="C426" s="76" t="n"/>
      <c r="D426" s="76" t="n"/>
      <c r="E426" s="76" t="n"/>
      <c r="F426" s="76" t="n"/>
      <c r="G426" s="76" t="n"/>
    </row>
    <row r="427" ht="15" customHeight="1">
      <c r="A427" s="76" t="n"/>
      <c r="B427" s="76" t="n"/>
      <c r="C427" s="76" t="n"/>
      <c r="D427" s="76" t="n"/>
      <c r="E427" s="76" t="n"/>
      <c r="F427" s="76" t="n"/>
      <c r="G427" s="76" t="n"/>
    </row>
    <row r="428" ht="15" customHeight="1">
      <c r="A428" s="76" t="n"/>
      <c r="B428" s="76" t="n"/>
      <c r="C428" s="76" t="n"/>
      <c r="D428" s="76" t="n"/>
      <c r="E428" s="76" t="n"/>
      <c r="F428" s="76" t="n"/>
      <c r="G428" s="76" t="n"/>
    </row>
    <row r="429" ht="15" customHeight="1">
      <c r="A429" s="76" t="n"/>
      <c r="B429" s="76" t="n"/>
      <c r="C429" s="76" t="n"/>
      <c r="D429" s="76" t="n"/>
      <c r="E429" s="76" t="n"/>
      <c r="F429" s="76" t="n"/>
      <c r="G429" s="76" t="n"/>
    </row>
    <row r="430" ht="15" customHeight="1">
      <c r="A430" s="76" t="n"/>
      <c r="B430" s="76" t="n"/>
      <c r="C430" s="76" t="n"/>
      <c r="D430" s="76" t="n"/>
      <c r="E430" s="76" t="n"/>
      <c r="F430" s="76" t="n"/>
      <c r="G430" s="76" t="n"/>
    </row>
    <row r="431" ht="15" customHeight="1">
      <c r="A431" s="76" t="n"/>
      <c r="B431" s="76" t="n"/>
      <c r="C431" s="76" t="n"/>
      <c r="D431" s="76" t="n"/>
      <c r="E431" s="76" t="n"/>
      <c r="F431" s="76" t="n"/>
      <c r="G431" s="76" t="n"/>
    </row>
    <row r="432" ht="15" customHeight="1">
      <c r="A432" s="76" t="n"/>
      <c r="B432" s="76" t="n"/>
      <c r="C432" s="76" t="n"/>
      <c r="D432" s="76" t="n"/>
      <c r="E432" s="76" t="n"/>
      <c r="F432" s="76" t="n"/>
      <c r="G432" s="76" t="n"/>
    </row>
    <row r="433" ht="15" customHeight="1">
      <c r="A433" s="76" t="n"/>
      <c r="B433" s="76" t="n"/>
      <c r="C433" s="76" t="n"/>
      <c r="D433" s="76" t="n"/>
      <c r="E433" s="76" t="n"/>
      <c r="F433" s="76" t="n"/>
      <c r="G433" s="76" t="n"/>
    </row>
    <row r="434" ht="15" customHeight="1">
      <c r="A434" s="76" t="n"/>
      <c r="B434" s="76" t="n"/>
      <c r="C434" s="76" t="n"/>
      <c r="D434" s="76" t="n"/>
      <c r="E434" s="76" t="n"/>
      <c r="F434" s="76" t="n"/>
      <c r="G434" s="76" t="n"/>
    </row>
    <row r="435" ht="15" customHeight="1">
      <c r="A435" s="76" t="n"/>
      <c r="B435" s="76" t="n"/>
      <c r="C435" s="76" t="n"/>
      <c r="D435" s="76" t="n"/>
      <c r="E435" s="76" t="n"/>
      <c r="F435" s="76" t="n"/>
      <c r="G435" s="76" t="n"/>
    </row>
    <row r="436" ht="15" customHeight="1">
      <c r="A436" s="76" t="n"/>
      <c r="B436" s="76" t="n"/>
      <c r="C436" s="76" t="n"/>
      <c r="D436" s="76" t="n"/>
      <c r="E436" s="76" t="n"/>
      <c r="F436" s="76" t="n"/>
      <c r="G436" s="76" t="n"/>
    </row>
    <row r="437" ht="15" customHeight="1">
      <c r="A437" s="76" t="n"/>
      <c r="B437" s="76" t="n"/>
      <c r="C437" s="76" t="n"/>
      <c r="D437" s="76" t="n"/>
      <c r="E437" s="76" t="n"/>
      <c r="F437" s="76" t="n"/>
      <c r="G437" s="76" t="n"/>
    </row>
    <row r="438" ht="15" customHeight="1">
      <c r="A438" s="76" t="n"/>
      <c r="B438" s="76" t="n"/>
      <c r="C438" s="76" t="n"/>
      <c r="D438" s="76" t="n"/>
      <c r="E438" s="76" t="n"/>
      <c r="F438" s="76" t="n"/>
      <c r="G438" s="76" t="n"/>
    </row>
    <row r="439" ht="15" customHeight="1">
      <c r="A439" s="76" t="n"/>
      <c r="B439" s="76" t="n"/>
      <c r="C439" s="76" t="n"/>
      <c r="D439" s="76" t="n"/>
      <c r="E439" s="76" t="n"/>
      <c r="F439" s="76" t="n"/>
      <c r="G439" s="76" t="n"/>
    </row>
    <row r="440" ht="15" customHeight="1">
      <c r="A440" s="76" t="n"/>
      <c r="B440" s="76" t="n"/>
      <c r="C440" s="76" t="n"/>
      <c r="D440" s="76" t="n"/>
      <c r="E440" s="76" t="n"/>
      <c r="F440" s="76" t="n"/>
      <c r="G440" s="76" t="n"/>
    </row>
    <row r="441" ht="15" customHeight="1">
      <c r="A441" s="76" t="n"/>
      <c r="B441" s="76" t="n"/>
      <c r="C441" s="76" t="n"/>
      <c r="D441" s="76" t="n"/>
      <c r="E441" s="76" t="n"/>
      <c r="F441" s="76" t="n"/>
      <c r="G441" s="76" t="n"/>
    </row>
    <row r="442" ht="15" customHeight="1">
      <c r="A442" s="76" t="n"/>
      <c r="B442" s="76" t="n"/>
      <c r="C442" s="76" t="n"/>
      <c r="D442" s="76" t="n"/>
      <c r="E442" s="76" t="n"/>
      <c r="F442" s="76" t="n"/>
      <c r="G442" s="76" t="n"/>
    </row>
    <row r="443" ht="15" customHeight="1">
      <c r="A443" s="76" t="n"/>
      <c r="B443" s="76" t="n"/>
      <c r="C443" s="76" t="n"/>
      <c r="D443" s="76" t="n"/>
      <c r="E443" s="76" t="n"/>
      <c r="F443" s="76" t="n"/>
      <c r="G443" s="76" t="n"/>
    </row>
    <row r="444" ht="15" customHeight="1">
      <c r="A444" s="76" t="n"/>
      <c r="B444" s="76" t="n"/>
      <c r="C444" s="76" t="n"/>
      <c r="D444" s="76" t="n"/>
      <c r="E444" s="76" t="n"/>
      <c r="F444" s="76" t="n"/>
      <c r="G444" s="76" t="n"/>
    </row>
    <row r="445" ht="15" customHeight="1">
      <c r="A445" s="76" t="n"/>
      <c r="B445" s="76" t="n"/>
      <c r="C445" s="76" t="n"/>
      <c r="D445" s="76" t="n"/>
      <c r="E445" s="76" t="n"/>
      <c r="F445" s="76" t="n"/>
      <c r="G445" s="76" t="n"/>
    </row>
    <row r="446" ht="15" customHeight="1">
      <c r="A446" s="76" t="n"/>
      <c r="B446" s="76" t="n"/>
      <c r="C446" s="76" t="n"/>
      <c r="D446" s="76" t="n"/>
      <c r="E446" s="76" t="n"/>
      <c r="F446" s="76" t="n"/>
      <c r="G446" s="76" t="n"/>
    </row>
    <row r="447" ht="15" customHeight="1">
      <c r="A447" s="76" t="n"/>
      <c r="B447" s="76" t="n"/>
      <c r="C447" s="76" t="n"/>
      <c r="D447" s="76" t="n"/>
      <c r="E447" s="76" t="n"/>
      <c r="F447" s="76" t="n"/>
      <c r="G447" s="76" t="n"/>
    </row>
    <row r="448" ht="15" customHeight="1">
      <c r="A448" s="76" t="n"/>
      <c r="B448" s="76" t="n"/>
      <c r="C448" s="76" t="n"/>
      <c r="D448" s="76" t="n"/>
      <c r="E448" s="76" t="n"/>
      <c r="F448" s="76" t="n"/>
      <c r="G448" s="76" t="n"/>
    </row>
    <row r="449" ht="15" customHeight="1">
      <c r="A449" s="76" t="n"/>
      <c r="B449" s="76" t="n"/>
      <c r="C449" s="76" t="n"/>
      <c r="D449" s="76" t="n"/>
      <c r="E449" s="76" t="n"/>
      <c r="F449" s="76" t="n"/>
      <c r="G449" s="76" t="n"/>
    </row>
    <row r="450" ht="15" customHeight="1">
      <c r="A450" s="76" t="n"/>
      <c r="B450" s="76" t="n"/>
      <c r="C450" s="76" t="n"/>
      <c r="D450" s="76" t="n"/>
      <c r="E450" s="76" t="n"/>
      <c r="F450" s="76" t="n"/>
      <c r="G450" s="76" t="n"/>
    </row>
    <row r="451" ht="15" customHeight="1">
      <c r="A451" s="76" t="n"/>
      <c r="B451" s="76" t="n"/>
      <c r="C451" s="76" t="n"/>
      <c r="D451" s="76" t="n"/>
      <c r="E451" s="76" t="n"/>
      <c r="F451" s="76" t="n"/>
      <c r="G451" s="76" t="n"/>
    </row>
    <row r="452" ht="15" customHeight="1">
      <c r="A452" s="76" t="n"/>
      <c r="B452" s="76" t="n"/>
      <c r="C452" s="76" t="n"/>
      <c r="D452" s="76" t="n"/>
      <c r="E452" s="76" t="n"/>
      <c r="F452" s="76" t="n"/>
      <c r="G452" s="76" t="n"/>
    </row>
    <row r="453" ht="15" customHeight="1">
      <c r="A453" s="76" t="n"/>
      <c r="B453" s="76" t="n"/>
      <c r="C453" s="76" t="n"/>
      <c r="D453" s="76" t="n"/>
      <c r="E453" s="76" t="n"/>
      <c r="F453" s="76" t="n"/>
      <c r="G453" s="76" t="n"/>
    </row>
    <row r="454" ht="15" customHeight="1">
      <c r="A454" s="76" t="n"/>
      <c r="B454" s="76" t="n"/>
      <c r="C454" s="76" t="n"/>
      <c r="D454" s="76" t="n"/>
      <c r="E454" s="76" t="n"/>
      <c r="F454" s="76" t="n"/>
      <c r="G454" s="76" t="n"/>
    </row>
    <row r="455" ht="15" customHeight="1">
      <c r="A455" s="76" t="n"/>
      <c r="B455" s="76" t="n"/>
      <c r="C455" s="76" t="n"/>
      <c r="D455" s="76" t="n"/>
      <c r="E455" s="76" t="n"/>
      <c r="F455" s="76" t="n"/>
      <c r="G455" s="76" t="n"/>
    </row>
    <row r="456" ht="15" customHeight="1">
      <c r="A456" s="76" t="n"/>
      <c r="B456" s="76" t="n"/>
      <c r="C456" s="76" t="n"/>
      <c r="D456" s="76" t="n"/>
      <c r="E456" s="76" t="n"/>
      <c r="F456" s="76" t="n"/>
      <c r="G456" s="76" t="n"/>
    </row>
    <row r="457" ht="15" customHeight="1">
      <c r="A457" s="76" t="n"/>
      <c r="B457" s="76" t="n"/>
      <c r="C457" s="76" t="n"/>
      <c r="D457" s="76" t="n"/>
      <c r="E457" s="76" t="n"/>
      <c r="F457" s="76" t="n"/>
      <c r="G457" s="76" t="n"/>
    </row>
    <row r="458" ht="15" customHeight="1">
      <c r="A458" s="76" t="n"/>
      <c r="B458" s="76" t="n"/>
      <c r="C458" s="76" t="n"/>
      <c r="D458" s="76" t="n"/>
      <c r="E458" s="76" t="n"/>
      <c r="F458" s="76" t="n"/>
      <c r="G458" s="76" t="n"/>
    </row>
    <row r="459" ht="15" customHeight="1">
      <c r="A459" s="76" t="n"/>
      <c r="B459" s="76" t="n"/>
      <c r="C459" s="76" t="n"/>
      <c r="D459" s="76" t="n"/>
      <c r="E459" s="76" t="n"/>
      <c r="F459" s="76" t="n"/>
      <c r="G459" s="76" t="n"/>
    </row>
    <row r="460" ht="15" customHeight="1">
      <c r="A460" s="76" t="n"/>
      <c r="B460" s="76" t="n"/>
      <c r="C460" s="76" t="n"/>
      <c r="D460" s="76" t="n"/>
      <c r="E460" s="76" t="n"/>
      <c r="F460" s="76" t="n"/>
      <c r="G460" s="76" t="n"/>
    </row>
    <row r="461" ht="15" customHeight="1">
      <c r="A461" s="76" t="n"/>
      <c r="B461" s="76" t="n"/>
      <c r="C461" s="76" t="n"/>
      <c r="D461" s="76" t="n"/>
      <c r="E461" s="76" t="n"/>
      <c r="F461" s="76" t="n"/>
      <c r="G461" s="76" t="n"/>
    </row>
    <row r="462" ht="15" customHeight="1">
      <c r="A462" s="76" t="n"/>
      <c r="B462" s="76" t="n"/>
      <c r="C462" s="76" t="n"/>
      <c r="D462" s="76" t="n"/>
      <c r="E462" s="76" t="n"/>
      <c r="F462" s="76" t="n"/>
      <c r="G462" s="76" t="n"/>
    </row>
    <row r="463" ht="15" customHeight="1">
      <c r="A463" s="76" t="n"/>
      <c r="B463" s="76" t="n"/>
      <c r="C463" s="76" t="n"/>
      <c r="D463" s="76" t="n"/>
      <c r="E463" s="76" t="n"/>
      <c r="F463" s="76" t="n"/>
      <c r="G463" s="76" t="n"/>
    </row>
    <row r="464" ht="15" customHeight="1">
      <c r="A464" s="76" t="n"/>
      <c r="B464" s="76" t="n"/>
      <c r="C464" s="76" t="n"/>
      <c r="D464" s="76" t="n"/>
      <c r="E464" s="76" t="n"/>
      <c r="F464" s="76" t="n"/>
      <c r="G464" s="76" t="n"/>
    </row>
    <row r="465" ht="15" customHeight="1">
      <c r="A465" s="76" t="n"/>
      <c r="B465" s="76" t="n"/>
      <c r="C465" s="76" t="n"/>
      <c r="D465" s="76" t="n"/>
      <c r="E465" s="76" t="n"/>
      <c r="F465" s="76" t="n"/>
      <c r="G465" s="76" t="n"/>
    </row>
    <row r="466" ht="15" customHeight="1">
      <c r="A466" s="76" t="n"/>
      <c r="B466" s="76" t="n"/>
      <c r="C466" s="76" t="n"/>
      <c r="D466" s="76" t="n"/>
      <c r="E466" s="76" t="n"/>
      <c r="F466" s="76" t="n"/>
      <c r="G466" s="76" t="n"/>
    </row>
    <row r="467" ht="15" customHeight="1">
      <c r="A467" s="76" t="n"/>
      <c r="B467" s="76" t="n"/>
      <c r="C467" s="76" t="n"/>
      <c r="D467" s="76" t="n"/>
      <c r="E467" s="76" t="n"/>
      <c r="F467" s="76" t="n"/>
      <c r="G467" s="76" t="n"/>
    </row>
    <row r="468" ht="15" customHeight="1">
      <c r="A468" s="76" t="n"/>
      <c r="B468" s="76" t="n"/>
      <c r="C468" s="76" t="n"/>
      <c r="D468" s="76" t="n"/>
      <c r="E468" s="76" t="n"/>
      <c r="F468" s="76" t="n"/>
      <c r="G468" s="76" t="n"/>
    </row>
    <row r="469" ht="15" customHeight="1">
      <c r="A469" s="76" t="n"/>
      <c r="B469" s="76" t="n"/>
      <c r="C469" s="76" t="n"/>
      <c r="D469" s="76" t="n"/>
      <c r="E469" s="76" t="n"/>
      <c r="F469" s="76" t="n"/>
      <c r="G469" s="76" t="n"/>
    </row>
    <row r="470" ht="15" customHeight="1">
      <c r="A470" s="76" t="n"/>
      <c r="B470" s="76" t="n"/>
      <c r="C470" s="76" t="n"/>
      <c r="D470" s="76" t="n"/>
      <c r="E470" s="76" t="n"/>
      <c r="F470" s="76" t="n"/>
      <c r="G470" s="76" t="n"/>
    </row>
    <row r="471" ht="15" customHeight="1">
      <c r="A471" s="76" t="n"/>
      <c r="B471" s="76" t="n"/>
      <c r="C471" s="76" t="n"/>
      <c r="D471" s="76" t="n"/>
      <c r="E471" s="76" t="n"/>
      <c r="F471" s="76" t="n"/>
      <c r="G471" s="76" t="n"/>
    </row>
    <row r="472" ht="15" customHeight="1">
      <c r="A472" s="76" t="n"/>
      <c r="B472" s="76" t="n"/>
      <c r="C472" s="76" t="n"/>
      <c r="D472" s="76" t="n"/>
      <c r="E472" s="76" t="n"/>
      <c r="F472" s="76" t="n"/>
      <c r="G472" s="76" t="n"/>
    </row>
    <row r="473" ht="15" customHeight="1">
      <c r="A473" s="76" t="n"/>
      <c r="B473" s="76" t="n"/>
      <c r="C473" s="76" t="n"/>
      <c r="D473" s="76" t="n"/>
      <c r="E473" s="76" t="n"/>
      <c r="F473" s="76" t="n"/>
      <c r="G473" s="76" t="n"/>
    </row>
    <row r="474" ht="15" customHeight="1">
      <c r="A474" s="76" t="n"/>
      <c r="B474" s="76" t="n"/>
      <c r="C474" s="76" t="n"/>
      <c r="D474" s="76" t="n"/>
      <c r="E474" s="76" t="n"/>
      <c r="F474" s="76" t="n"/>
      <c r="G474" s="76" t="n"/>
    </row>
    <row r="475" ht="15" customHeight="1">
      <c r="A475" s="76" t="n"/>
      <c r="B475" s="76" t="n"/>
      <c r="C475" s="76" t="n"/>
      <c r="D475" s="76" t="n"/>
      <c r="E475" s="76" t="n"/>
      <c r="F475" s="76" t="n"/>
      <c r="G475" s="76" t="n"/>
    </row>
    <row r="476" ht="15" customHeight="1">
      <c r="A476" s="76" t="n"/>
      <c r="B476" s="76" t="n"/>
      <c r="C476" s="76" t="n"/>
      <c r="D476" s="76" t="n"/>
      <c r="E476" s="76" t="n"/>
      <c r="F476" s="76" t="n"/>
      <c r="G476" s="76" t="n"/>
    </row>
    <row r="477" ht="15" customHeight="1">
      <c r="A477" s="76" t="n"/>
      <c r="B477" s="76" t="n"/>
      <c r="C477" s="76" t="n"/>
      <c r="D477" s="76" t="n"/>
      <c r="E477" s="76" t="n"/>
      <c r="F477" s="76" t="n"/>
      <c r="G477" s="76" t="n"/>
    </row>
    <row r="478" ht="15" customHeight="1">
      <c r="A478" s="76" t="n"/>
      <c r="B478" s="76" t="n"/>
      <c r="C478" s="76" t="n"/>
      <c r="D478" s="76" t="n"/>
      <c r="E478" s="76" t="n"/>
      <c r="F478" s="76" t="n"/>
      <c r="G478" s="76" t="n"/>
    </row>
    <row r="479" ht="15" customHeight="1">
      <c r="A479" s="76" t="n"/>
      <c r="B479" s="76" t="n"/>
      <c r="C479" s="76" t="n"/>
      <c r="D479" s="76" t="n"/>
      <c r="E479" s="76" t="n"/>
      <c r="F479" s="76" t="n"/>
      <c r="G479" s="76" t="n"/>
    </row>
    <row r="480" ht="15" customHeight="1">
      <c r="A480" s="76" t="n"/>
      <c r="B480" s="76" t="n"/>
      <c r="C480" s="76" t="n"/>
      <c r="D480" s="76" t="n"/>
      <c r="E480" s="76" t="n"/>
      <c r="F480" s="76" t="n"/>
      <c r="G480" s="76" t="n"/>
    </row>
    <row r="481" ht="15" customHeight="1">
      <c r="A481" s="76" t="n"/>
      <c r="B481" s="76" t="n"/>
      <c r="C481" s="76" t="n"/>
      <c r="D481" s="76" t="n"/>
      <c r="E481" s="76" t="n"/>
      <c r="F481" s="76" t="n"/>
      <c r="G481" s="76" t="n"/>
    </row>
    <row r="482" ht="15" customHeight="1">
      <c r="A482" s="76" t="n"/>
      <c r="B482" s="76" t="n"/>
      <c r="C482" s="76" t="n"/>
      <c r="D482" s="76" t="n"/>
      <c r="E482" s="76" t="n"/>
      <c r="F482" s="76" t="n"/>
      <c r="G482" s="76" t="n"/>
    </row>
    <row r="483" ht="15" customHeight="1">
      <c r="A483" s="76" t="n"/>
      <c r="B483" s="76" t="n"/>
      <c r="C483" s="76" t="n"/>
      <c r="D483" s="76" t="n"/>
      <c r="E483" s="76" t="n"/>
      <c r="F483" s="76" t="n"/>
      <c r="G483" s="76" t="n"/>
    </row>
    <row r="484" ht="15" customHeight="1">
      <c r="A484" s="76" t="n"/>
      <c r="B484" s="76" t="n"/>
      <c r="C484" s="76" t="n"/>
      <c r="D484" s="76" t="n"/>
      <c r="E484" s="76" t="n"/>
      <c r="F484" s="76" t="n"/>
      <c r="G484" s="76" t="n"/>
    </row>
    <row r="485" ht="15" customHeight="1">
      <c r="A485" s="76" t="n"/>
      <c r="B485" s="76" t="n"/>
      <c r="C485" s="76" t="n"/>
      <c r="D485" s="76" t="n"/>
      <c r="E485" s="76" t="n"/>
      <c r="F485" s="76" t="n"/>
      <c r="G485" s="76" t="n"/>
    </row>
    <row r="486" ht="15" customHeight="1">
      <c r="A486" s="76" t="n"/>
      <c r="B486" s="76" t="n"/>
      <c r="C486" s="76" t="n"/>
      <c r="D486" s="76" t="n"/>
      <c r="E486" s="76" t="n"/>
      <c r="F486" s="76" t="n"/>
      <c r="G486" s="76" t="n"/>
    </row>
    <row r="487" ht="15" customHeight="1">
      <c r="A487" s="76" t="n"/>
      <c r="B487" s="76" t="n"/>
      <c r="C487" s="76" t="n"/>
      <c r="D487" s="76" t="n"/>
      <c r="E487" s="76" t="n"/>
      <c r="F487" s="76" t="n"/>
      <c r="G487" s="76" t="n"/>
    </row>
    <row r="488" ht="15" customHeight="1">
      <c r="A488" s="76" t="n"/>
      <c r="B488" s="76" t="n"/>
      <c r="C488" s="76" t="n"/>
      <c r="D488" s="76" t="n"/>
      <c r="E488" s="76" t="n"/>
      <c r="F488" s="76" t="n"/>
      <c r="G488" s="76" t="n"/>
    </row>
    <row r="489" ht="15" customHeight="1">
      <c r="A489" s="76" t="n"/>
      <c r="B489" s="76" t="n"/>
      <c r="C489" s="76" t="n"/>
      <c r="D489" s="76" t="n"/>
      <c r="E489" s="76" t="n"/>
      <c r="F489" s="76" t="n"/>
      <c r="G489" s="76" t="n"/>
    </row>
    <row r="490" ht="15" customHeight="1">
      <c r="A490" s="76" t="n"/>
      <c r="B490" s="76" t="n"/>
      <c r="C490" s="76" t="n"/>
      <c r="D490" s="76" t="n"/>
      <c r="E490" s="76" t="n"/>
      <c r="F490" s="76" t="n"/>
      <c r="G490" s="76" t="n"/>
    </row>
    <row r="491" ht="15" customHeight="1">
      <c r="A491" s="76" t="n"/>
      <c r="B491" s="76" t="n"/>
      <c r="C491" s="76" t="n"/>
      <c r="D491" s="76" t="n"/>
      <c r="E491" s="76" t="n"/>
      <c r="F491" s="76" t="n"/>
      <c r="G491" s="76" t="n"/>
    </row>
    <row r="492" ht="15" customHeight="1">
      <c r="A492" s="76" t="n"/>
      <c r="B492" s="76" t="n"/>
      <c r="C492" s="76" t="n"/>
      <c r="D492" s="76" t="n"/>
      <c r="E492" s="76" t="n"/>
      <c r="F492" s="76" t="n"/>
      <c r="G492" s="76" t="n"/>
    </row>
    <row r="493" ht="15" customHeight="1">
      <c r="A493" s="76" t="n"/>
      <c r="B493" s="76" t="n"/>
      <c r="C493" s="76" t="n"/>
      <c r="D493" s="76" t="n"/>
      <c r="E493" s="76" t="n"/>
      <c r="F493" s="76" t="n"/>
      <c r="G493" s="76" t="n"/>
    </row>
    <row r="494" ht="15" customHeight="1">
      <c r="A494" s="76" t="n"/>
      <c r="B494" s="76" t="n"/>
      <c r="C494" s="76" t="n"/>
      <c r="D494" s="76" t="n"/>
      <c r="E494" s="76" t="n"/>
      <c r="F494" s="76" t="n"/>
      <c r="G494" s="76" t="n"/>
    </row>
    <row r="495" ht="15" customHeight="1">
      <c r="A495" s="76" t="n"/>
      <c r="B495" s="76" t="n"/>
      <c r="C495" s="76" t="n"/>
      <c r="D495" s="76" t="n"/>
      <c r="E495" s="76" t="n"/>
      <c r="F495" s="76" t="n"/>
      <c r="G495" s="76" t="n"/>
    </row>
    <row r="496" ht="15" customHeight="1">
      <c r="A496" s="76" t="n"/>
      <c r="B496" s="76" t="n"/>
      <c r="C496" s="76" t="n"/>
      <c r="D496" s="76" t="n"/>
      <c r="E496" s="76" t="n"/>
      <c r="F496" s="76" t="n"/>
      <c r="G496" s="76" t="n"/>
    </row>
    <row r="497" ht="15" customHeight="1">
      <c r="A497" s="76" t="n"/>
      <c r="B497" s="76" t="n"/>
      <c r="C497" s="76" t="n"/>
      <c r="D497" s="76" t="n"/>
      <c r="E497" s="76" t="n"/>
      <c r="F497" s="76" t="n"/>
      <c r="G497" s="76" t="n"/>
    </row>
    <row r="498" ht="15" customHeight="1">
      <c r="A498" s="76" t="n"/>
      <c r="B498" s="76" t="n"/>
      <c r="C498" s="76" t="n"/>
      <c r="D498" s="76" t="n"/>
      <c r="E498" s="76" t="n"/>
      <c r="F498" s="76" t="n"/>
      <c r="G498" s="76" t="n"/>
    </row>
    <row r="499" ht="15" customHeight="1">
      <c r="A499" s="76" t="n"/>
      <c r="B499" s="76" t="n"/>
      <c r="C499" s="76" t="n"/>
      <c r="D499" s="76" t="n"/>
      <c r="E499" s="76" t="n"/>
      <c r="F499" s="76" t="n"/>
      <c r="G499" s="76" t="n"/>
    </row>
    <row r="500" ht="15" customHeight="1">
      <c r="A500" s="76" t="n"/>
      <c r="B500" s="76" t="n"/>
      <c r="C500" s="76" t="n"/>
      <c r="D500" s="76" t="n"/>
      <c r="E500" s="76" t="n"/>
      <c r="F500" s="76" t="n"/>
      <c r="G500" s="76" t="n"/>
    </row>
    <row r="501" ht="15" customHeight="1">
      <c r="A501" s="76" t="n"/>
      <c r="B501" s="76" t="n"/>
      <c r="C501" s="76" t="n"/>
      <c r="D501" s="76" t="n"/>
      <c r="E501" s="76" t="n"/>
      <c r="F501" s="76" t="n"/>
      <c r="G501" s="76" t="n"/>
    </row>
    <row r="502" ht="15" customHeight="1">
      <c r="A502" s="76" t="n"/>
      <c r="B502" s="76" t="n"/>
      <c r="C502" s="76" t="n"/>
      <c r="D502" s="76" t="n"/>
      <c r="E502" s="76" t="n"/>
      <c r="F502" s="76" t="n"/>
      <c r="G502" s="76" t="n"/>
    </row>
    <row r="503">
      <c r="B503" s="85" t="n"/>
      <c r="C503" s="85" t="n"/>
      <c r="D503" s="85" t="n"/>
      <c r="E503" s="85" t="n"/>
      <c r="F503" s="85" t="n"/>
      <c r="G503" s="85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topLeftCell="D1" workbookViewId="0">
      <selection activeCell="A1" sqref="A1:I1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8" t="inlineStr">
        <is>
          <t>Mẫu lưu TVC</t>
        </is>
      </c>
      <c r="I1" s="78" t="inlineStr">
        <is>
          <t>sl/palet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8" t="inlineStr">
        <is>
          <t>Y6</t>
        </is>
      </c>
      <c r="I2" s="78" t="inlineStr">
        <is>
          <t>Y7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9" t="n">
        <v>3</v>
      </c>
      <c r="I3" s="79" t="n">
        <v>4000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9" t="n">
        <v>3</v>
      </c>
      <c r="I4" s="79" t="n">
        <v>4000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9" t="n">
        <v>3</v>
      </c>
      <c r="I5" s="79" t="n">
        <v>2000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9" t="n">
        <v>3</v>
      </c>
      <c r="I6" s="79" t="n">
        <v>4000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9" t="n">
        <v>3</v>
      </c>
      <c r="I7" s="79" t="n">
        <v>4000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9" t="n">
        <v>3</v>
      </c>
      <c r="I8" s="79" t="n">
        <v>2000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9" t="n">
        <v>3</v>
      </c>
      <c r="I9" s="79" t="n">
        <v>4000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9" t="n">
        <v>3</v>
      </c>
      <c r="I10" s="79" t="n">
        <v>4000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9" t="n">
        <v>3</v>
      </c>
      <c r="I11" s="79" t="n">
        <v>2000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9" t="n">
        <v>3</v>
      </c>
      <c r="I12" s="79" t="n">
        <v>2000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9" t="n">
        <v>3</v>
      </c>
      <c r="I13" s="79" t="n">
        <v>4000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9" t="n">
        <v>3</v>
      </c>
      <c r="I14" s="79" t="n">
        <v>4000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9" t="n">
        <v>3</v>
      </c>
      <c r="I15" s="79" t="n">
        <v>2000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9" t="n">
        <v>3</v>
      </c>
      <c r="I16" s="79" t="n">
        <v>4000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9" t="n">
        <v>3</v>
      </c>
      <c r="I17" s="79" t="n">
        <v>4000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9" t="n">
        <v>3</v>
      </c>
      <c r="I18" s="79" t="n">
        <v>2000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9" t="n">
        <v>3</v>
      </c>
      <c r="I19" s="79" t="n">
        <v>4000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9" t="n">
        <v>3</v>
      </c>
      <c r="I20" s="79" t="n">
        <v>4000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9" t="n">
        <v>3</v>
      </c>
      <c r="I21" s="79" t="n">
        <v>2000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9" t="n">
        <v>3</v>
      </c>
      <c r="I22" s="79" t="n">
        <v>4000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9" t="n">
        <v>3</v>
      </c>
      <c r="I23" s="79" t="n">
        <v>4000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9" t="n">
        <v>3</v>
      </c>
      <c r="I24" s="79" t="n">
        <v>2000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9" t="n">
        <v>3</v>
      </c>
      <c r="I25" s="79" t="n">
        <v>2000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9" t="n">
        <v>3</v>
      </c>
      <c r="I26" s="79" t="n">
        <v>4000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9" t="n">
        <v>3</v>
      </c>
      <c r="I27" s="79" t="n">
        <v>4000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9" t="n">
        <v>3</v>
      </c>
      <c r="I28" s="79" t="n">
        <v>2000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9" t="n">
        <v>3</v>
      </c>
      <c r="I29" s="79" t="n">
        <v>4000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9" t="n">
        <v>3</v>
      </c>
      <c r="I30" s="79" t="n">
        <v>2000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9" t="n">
        <v>3</v>
      </c>
      <c r="I31" s="79" t="n">
        <v>4000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9" t="n">
        <v>3</v>
      </c>
      <c r="I32" s="79" t="n">
        <v>2000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9" t="n">
        <v>3</v>
      </c>
      <c r="I33" s="79" t="n">
        <v>4000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9" t="n">
        <v>3</v>
      </c>
      <c r="I34" s="79" t="n">
        <v>4000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9" t="n">
        <v>3</v>
      </c>
      <c r="I35" s="79" t="n">
        <v>2000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9" t="n">
        <v>3</v>
      </c>
      <c r="I36" s="79" t="n">
        <v>4000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9" t="n">
        <v>3</v>
      </c>
      <c r="I37" s="79" t="n">
        <v>4000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9" t="n">
        <v>3</v>
      </c>
      <c r="I38" s="79" t="n">
        <v>4000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9" t="n">
        <v>3</v>
      </c>
      <c r="I39" s="79" t="n">
        <v>4000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9" t="n">
        <v>3</v>
      </c>
      <c r="I40" s="79" t="n">
        <v>2000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9" t="n">
        <v>3</v>
      </c>
      <c r="I41" s="79" t="n">
        <v>4000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9" t="n">
        <v>3</v>
      </c>
      <c r="I42" s="79" t="n">
        <v>4000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9" t="n">
        <v>3</v>
      </c>
      <c r="I43" s="79" t="n">
        <v>4000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9" t="n">
        <v>3</v>
      </c>
      <c r="I44" s="79" t="n">
        <v>4000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9" t="n">
        <v>3</v>
      </c>
      <c r="I45" s="79" t="n">
        <v>2000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9" t="n">
        <v>3</v>
      </c>
      <c r="I46" s="79" t="n">
        <v>4000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9" t="n">
        <v>3</v>
      </c>
      <c r="I47" s="79" t="n">
        <v>4000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9" t="n">
        <v>3</v>
      </c>
      <c r="I48" s="79" t="n">
        <v>4000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9" t="n">
        <v>3</v>
      </c>
      <c r="I49" s="79" t="n">
        <v>4000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9" t="n">
        <v>3</v>
      </c>
      <c r="I50" s="79" t="n">
        <v>4000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9" t="n">
        <v>3</v>
      </c>
      <c r="I51" s="79" t="n">
        <v>4000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9" t="n">
        <v>3</v>
      </c>
      <c r="I52" s="79" t="n">
        <v>4000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9" t="n">
        <v>3</v>
      </c>
      <c r="I53" s="79" t="n">
        <v>4000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9" t="n">
        <v>3</v>
      </c>
      <c r="I54" s="79" t="n">
        <v>2000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9" t="n">
        <v>3</v>
      </c>
      <c r="I55" s="79" t="n">
        <v>4000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9" t="n">
        <v>3</v>
      </c>
      <c r="I56" s="79" t="n">
        <v>4000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9" t="n">
        <v>3</v>
      </c>
      <c r="I57" s="79" t="n">
        <v>2000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9" t="n">
        <v>3</v>
      </c>
      <c r="I58" s="79" t="n">
        <v>4000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9" t="n">
        <v>3</v>
      </c>
      <c r="I59" s="79" t="n">
        <v>2000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9" t="n">
        <v>3</v>
      </c>
      <c r="I60" s="79" t="n">
        <v>4000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9" t="n">
        <v>3</v>
      </c>
      <c r="I61" s="79" t="n">
        <v>4000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9" t="n">
        <v>3</v>
      </c>
      <c r="I62" s="79" t="n">
        <v>4000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9" t="n">
        <v>3</v>
      </c>
      <c r="I63" s="79" t="n">
        <v>4000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9" t="n">
        <v>3</v>
      </c>
      <c r="I64" s="79" t="n">
        <v>2000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9" t="n">
        <v>3</v>
      </c>
      <c r="I65" s="79" t="n">
        <v>4000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9" t="n">
        <v>3</v>
      </c>
      <c r="I66" s="79" t="n">
        <v>4000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9" t="n">
        <v>3</v>
      </c>
      <c r="I67" s="79" t="n">
        <v>4000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9" t="n">
        <v>3</v>
      </c>
      <c r="I68" s="79" t="n">
        <v>4000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9" t="n">
        <v>3</v>
      </c>
      <c r="I69" s="79" t="n">
        <v>4000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9" t="n">
        <v>3</v>
      </c>
      <c r="I70" s="79" t="n">
        <v>4000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9" t="n">
        <v>3</v>
      </c>
      <c r="I71" s="79" t="n">
        <v>2000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9" t="n">
        <v>3</v>
      </c>
      <c r="I72" s="79" t="n">
        <v>4000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9" t="n">
        <v>3</v>
      </c>
      <c r="I73" s="79" t="n">
        <v>2000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9" t="n">
        <v>3</v>
      </c>
      <c r="I74" s="79" t="n">
        <v>4000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9" t="n">
        <v>3</v>
      </c>
      <c r="I75" s="79" t="n">
        <v>4000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9" t="n">
        <v>3</v>
      </c>
      <c r="I76" s="79" t="n">
        <v>4000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9" t="n">
        <v>3</v>
      </c>
      <c r="I77" s="79" t="n">
        <v>4000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9" t="n">
        <v>3</v>
      </c>
      <c r="I78" s="79" t="n">
        <v>4000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9" t="n">
        <v>3</v>
      </c>
      <c r="I79" s="79" t="n">
        <v>4000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9" t="n">
        <v>3</v>
      </c>
      <c r="I80" s="79" t="n">
        <v>2000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9" t="n">
        <v>3</v>
      </c>
      <c r="I81" s="79" t="n">
        <v>4000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9" t="n">
        <v>3</v>
      </c>
      <c r="I82" s="79" t="n">
        <v>4000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9" t="n">
        <v>3</v>
      </c>
      <c r="I83" s="79" t="n">
        <v>4000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9" t="n">
        <v>3</v>
      </c>
      <c r="I84" s="79" t="n">
        <v>4000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9" t="n">
        <v>3</v>
      </c>
      <c r="I85" s="79" t="n">
        <v>2000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9" t="n">
        <v>3</v>
      </c>
      <c r="I86" s="79" t="n">
        <v>4000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9" t="n">
        <v>3</v>
      </c>
      <c r="I87" s="79" t="n">
        <v>2000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9" t="n">
        <v>3</v>
      </c>
      <c r="I88" s="79" t="n">
        <v>4000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9" t="n">
        <v>3</v>
      </c>
      <c r="I89" s="79" t="n">
        <v>4000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9" t="n">
        <v>3</v>
      </c>
      <c r="I90" s="79" t="n">
        <v>4000</v>
      </c>
    </row>
  </sheetData>
  <autoFilter ref="A2:H90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</t>
        </is>
      </c>
      <c r="I1" s="98" t="inlineStr">
        <is>
          <t>Y0</t>
        </is>
      </c>
      <c r="J1" s="98" t="inlineStr">
        <is>
          <t>Y1</t>
        </is>
      </c>
      <c r="K1" s="98" t="inlineStr">
        <is>
          <t>Y2</t>
        </is>
      </c>
      <c r="L1" s="98" t="inlineStr">
        <is>
          <t>Y3</t>
        </is>
      </c>
      <c r="M1" s="98" t="inlineStr">
        <is>
          <t>Y4</t>
        </is>
      </c>
      <c r="N1" s="98" t="inlineStr">
        <is>
          <t>Y5</t>
        </is>
      </c>
      <c r="O1" s="98" t="inlineStr">
        <is>
          <t>Y6</t>
        </is>
      </c>
      <c r="P1" s="98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330000</v>
      </c>
      <c r="E2" t="n">
        <v>0</v>
      </c>
      <c r="F2" t="n">
        <v>0</v>
      </c>
      <c r="G2" t="n">
        <v>0</v>
      </c>
      <c r="H2" t="inlineStr">
        <is>
          <t>RF*GA35153M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n">
        <v>82500</v>
      </c>
      <c r="E3" t="n">
        <v>0</v>
      </c>
      <c r="F3" t="n">
        <v>0</v>
      </c>
      <c r="G3" t="n">
        <v>0</v>
      </c>
      <c r="H3" t="inlineStr">
        <is>
          <t>RF*GA35183M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n">
        <v>69000</v>
      </c>
      <c r="E4" t="n">
        <v>0</v>
      </c>
      <c r="F4" t="n">
        <v>0</v>
      </c>
      <c r="G4" t="n">
        <v>0</v>
      </c>
      <c r="H4" t="inlineStr">
        <is>
          <t>RF*GA35263M</t>
        </is>
      </c>
      <c r="I4" t="inlineStr">
        <is>
          <t>D</t>
        </is>
      </c>
      <c r="J4" t="n">
        <v>13800</v>
      </c>
      <c r="K4" t="n">
        <v>13900</v>
      </c>
      <c r="L4" t="n">
        <v>26</v>
      </c>
      <c r="M4" t="n">
        <v>1</v>
      </c>
      <c r="N4" t="n">
        <v>1</v>
      </c>
      <c r="O4" t="n">
        <v>3</v>
      </c>
      <c r="P4" t="n">
        <v>2000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n">
        <v>8000</v>
      </c>
      <c r="E5" t="n">
        <v>0</v>
      </c>
      <c r="F5" t="n">
        <v>0</v>
      </c>
      <c r="G5" t="n">
        <v>0</v>
      </c>
      <c r="H5" t="inlineStr">
        <is>
          <t>RF*PA35153M</t>
        </is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n">
        <v>41400</v>
      </c>
      <c r="E6" t="n">
        <v>0</v>
      </c>
      <c r="F6" t="n">
        <v>0</v>
      </c>
      <c r="G6" t="n">
        <v>0</v>
      </c>
      <c r="H6" t="inlineStr">
        <is>
          <t>RF*GA35263M</t>
        </is>
      </c>
      <c r="I6" t="inlineStr">
        <is>
          <t>D</t>
        </is>
      </c>
      <c r="J6" t="n">
        <v>13800</v>
      </c>
      <c r="K6" t="n">
        <v>13900</v>
      </c>
      <c r="L6" t="n">
        <v>26</v>
      </c>
      <c r="M6" t="n">
        <v>1</v>
      </c>
      <c r="N6" t="n">
        <v>1</v>
      </c>
      <c r="O6" t="n">
        <v>3</v>
      </c>
      <c r="P6" t="n">
        <v>2000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n">
        <v>25000</v>
      </c>
      <c r="E7" t="n">
        <v>0</v>
      </c>
      <c r="F7" t="n">
        <v>0</v>
      </c>
      <c r="G7" t="n">
        <v>0</v>
      </c>
      <c r="H7" t="inlineStr">
        <is>
          <t>RF*PA35183M</t>
        </is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n">
        <v>27600</v>
      </c>
      <c r="E8" t="n">
        <v>0</v>
      </c>
      <c r="F8" t="n">
        <v>0</v>
      </c>
      <c r="G8" t="n">
        <v>0</v>
      </c>
      <c r="H8" t="inlineStr">
        <is>
          <t>RF*PA35263M</t>
        </is>
      </c>
      <c r="I8" t="inlineStr">
        <is>
          <t>D</t>
        </is>
      </c>
      <c r="J8" t="n">
        <v>13800</v>
      </c>
      <c r="K8" t="n">
        <v>13900</v>
      </c>
      <c r="L8" t="n">
        <v>26</v>
      </c>
      <c r="M8" t="n">
        <v>1</v>
      </c>
      <c r="N8" t="n">
        <v>1</v>
      </c>
      <c r="O8" t="n">
        <v>3</v>
      </c>
      <c r="P8" t="n">
        <v>2000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n">
        <v>10000</v>
      </c>
      <c r="E9" t="n">
        <v>0</v>
      </c>
      <c r="F9" t="n">
        <v>0</v>
      </c>
      <c r="G9" t="n">
        <v>0</v>
      </c>
      <c r="H9" t="inlineStr">
        <is>
          <t>RF*PA35153M</t>
        </is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n">
        <v>3225</v>
      </c>
      <c r="E10" t="n">
        <v>0</v>
      </c>
      <c r="F10" t="n">
        <v>0</v>
      </c>
      <c r="G10" t="n">
        <v>0</v>
      </c>
      <c r="H10" t="inlineStr">
        <is>
          <t>RF*GA25153M</t>
        </is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n">
        <v>12350</v>
      </c>
      <c r="E11" t="n">
        <v>0</v>
      </c>
      <c r="F11" t="n">
        <v>0</v>
      </c>
      <c r="G11" t="n">
        <v>0</v>
      </c>
      <c r="H11" t="inlineStr">
        <is>
          <t>RF*GS35183M</t>
        </is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n">
        <v>7000</v>
      </c>
      <c r="E12" t="n">
        <v>0</v>
      </c>
      <c r="F12" t="n">
        <v>0</v>
      </c>
      <c r="G12" t="n">
        <v>0</v>
      </c>
      <c r="H12" t="inlineStr">
        <is>
          <t>RF*PS35263M</t>
        </is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n">
        <v>1525</v>
      </c>
      <c r="E13" t="n">
        <v>0</v>
      </c>
      <c r="F13" t="n">
        <v>0</v>
      </c>
      <c r="G13" t="n">
        <v>0</v>
      </c>
      <c r="H13" t="inlineStr">
        <is>
          <t>RF*GA25183M</t>
        </is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n">
        <v>525</v>
      </c>
      <c r="E14" t="n">
        <v>0</v>
      </c>
      <c r="F14" t="n">
        <v>0</v>
      </c>
      <c r="G14" t="n">
        <v>0</v>
      </c>
      <c r="H14" t="inlineStr">
        <is>
          <t>RF*GS35223M</t>
        </is>
      </c>
      <c r="I14" t="inlineStr">
        <is>
          <t>D</t>
        </is>
      </c>
      <c r="J14" t="n">
        <v>13800</v>
      </c>
      <c r="K14" t="n">
        <v>13900</v>
      </c>
      <c r="L14" t="n">
        <v>26</v>
      </c>
      <c r="M14" t="n">
        <v>1</v>
      </c>
      <c r="N14" t="n">
        <v>1</v>
      </c>
      <c r="O14" t="n">
        <v>3</v>
      </c>
      <c r="P14" t="n">
        <v>2000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n">
        <v>525</v>
      </c>
      <c r="E15" t="n">
        <v>0</v>
      </c>
      <c r="F15" t="n">
        <v>0</v>
      </c>
      <c r="G15" t="n">
        <v>0</v>
      </c>
      <c r="H15" t="inlineStr">
        <is>
          <t>RF*PS38153M</t>
        </is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n">
        <v>3275</v>
      </c>
      <c r="E16" t="n">
        <v>0</v>
      </c>
      <c r="F16" t="n">
        <v>0</v>
      </c>
      <c r="G16" t="n">
        <v>0</v>
      </c>
      <c r="H16" t="inlineStr">
        <is>
          <t>RF*GA18153M</t>
        </is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n">
        <v>225</v>
      </c>
      <c r="E17" t="n">
        <v>0</v>
      </c>
      <c r="F17" t="n">
        <v>0</v>
      </c>
      <c r="G17" t="n">
        <v>0</v>
      </c>
      <c r="H17" t="inlineStr">
        <is>
          <t>RF*GS18263M</t>
        </is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2.75"/>
  <sheetData>
    <row r="1">
      <c r="A1" s="80" t="inlineStr">
        <is>
          <t>X</t>
        </is>
      </c>
      <c r="B1" s="80" t="inlineStr">
        <is>
          <t>X0</t>
        </is>
      </c>
      <c r="C1" s="80" t="inlineStr">
        <is>
          <t>X1</t>
        </is>
      </c>
      <c r="D1" s="80" t="inlineStr">
        <is>
          <t>X4</t>
        </is>
      </c>
      <c r="E1" s="80" t="inlineStr">
        <is>
          <t>X7</t>
        </is>
      </c>
      <c r="F1" s="80" t="inlineStr">
        <is>
          <t>X8</t>
        </is>
      </c>
      <c r="G1" s="80" t="inlineStr">
        <is>
          <t>X9</t>
        </is>
      </c>
      <c r="H1" s="80" t="inlineStr">
        <is>
          <t>Y0</t>
        </is>
      </c>
      <c r="I1" s="80" t="inlineStr">
        <is>
          <t>Y1</t>
        </is>
      </c>
      <c r="J1" s="80" t="inlineStr">
        <is>
          <t>Y2</t>
        </is>
      </c>
      <c r="K1" s="80" t="inlineStr">
        <is>
          <t>Y3</t>
        </is>
      </c>
      <c r="L1" s="80" t="inlineStr">
        <is>
          <t>Y4</t>
        </is>
      </c>
      <c r="M1" s="80" t="inlineStr">
        <is>
          <t>Y5</t>
        </is>
      </c>
      <c r="N1" s="80" t="inlineStr">
        <is>
          <t>Y6</t>
        </is>
      </c>
      <c r="O1" s="80" t="inlineStr">
        <is>
          <t>Y7</t>
        </is>
      </c>
      <c r="P1" s="80" t="inlineStr">
        <is>
          <t>solot</t>
        </is>
      </c>
      <c r="Q1" s="80" t="inlineStr">
        <is>
          <t>tongsx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27500</v>
      </c>
      <c r="E2" t="n">
        <v>0</v>
      </c>
      <c r="F2" t="n">
        <v>0</v>
      </c>
      <c r="G2" t="n">
        <v>0</v>
      </c>
      <c r="H2" t="inlineStr">
        <is>
          <t>N</t>
        </is>
      </c>
      <c r="I2" t="n">
        <v>27500</v>
      </c>
      <c r="J2" t="n">
        <v>27600</v>
      </c>
      <c r="K2" t="n">
        <v>26</v>
      </c>
      <c r="L2" t="n">
        <v>1</v>
      </c>
      <c r="M2" t="n">
        <v>1</v>
      </c>
      <c r="N2" t="n">
        <v>3</v>
      </c>
      <c r="O2" t="n">
        <v>4000</v>
      </c>
      <c r="P2" t="n">
        <v>0</v>
      </c>
      <c r="Q2" t="n">
        <v>330000</v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n">
        <v>27500</v>
      </c>
      <c r="E3" t="n">
        <v>0</v>
      </c>
      <c r="F3" t="n">
        <v>0</v>
      </c>
      <c r="G3" t="n">
        <v>0</v>
      </c>
      <c r="H3" t="inlineStr">
        <is>
          <t>N</t>
        </is>
      </c>
      <c r="I3" t="n">
        <v>27500</v>
      </c>
      <c r="J3" t="n">
        <v>27600</v>
      </c>
      <c r="K3" t="n">
        <v>26</v>
      </c>
      <c r="L3" t="n">
        <v>1</v>
      </c>
      <c r="M3" t="n">
        <v>1</v>
      </c>
      <c r="N3" t="n">
        <v>3</v>
      </c>
      <c r="O3" t="n">
        <v>4000</v>
      </c>
      <c r="P3" t="n">
        <v>1</v>
      </c>
      <c r="Q3" t="n">
        <v>330000</v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n">
        <v>27500</v>
      </c>
      <c r="E4" t="n">
        <v>0</v>
      </c>
      <c r="F4" t="n">
        <v>0</v>
      </c>
      <c r="G4" t="n">
        <v>0</v>
      </c>
      <c r="H4" t="inlineStr">
        <is>
          <t>N</t>
        </is>
      </c>
      <c r="I4" t="n">
        <v>27500</v>
      </c>
      <c r="J4" t="n">
        <v>27600</v>
      </c>
      <c r="K4" t="n">
        <v>26</v>
      </c>
      <c r="L4" t="n">
        <v>1</v>
      </c>
      <c r="M4" t="n">
        <v>1</v>
      </c>
      <c r="N4" t="n">
        <v>3</v>
      </c>
      <c r="O4" t="n">
        <v>4000</v>
      </c>
      <c r="P4" t="n">
        <v>2</v>
      </c>
      <c r="Q4" t="n">
        <v>330000</v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n">
        <v>27500</v>
      </c>
      <c r="E5" t="n">
        <v>0</v>
      </c>
      <c r="F5" t="n">
        <v>0</v>
      </c>
      <c r="G5" t="n">
        <v>0</v>
      </c>
      <c r="H5" t="inlineStr">
        <is>
          <t>N</t>
        </is>
      </c>
      <c r="I5" t="n">
        <v>27500</v>
      </c>
      <c r="J5" t="n">
        <v>27600</v>
      </c>
      <c r="K5" t="n">
        <v>26</v>
      </c>
      <c r="L5" t="n">
        <v>1</v>
      </c>
      <c r="M5" t="n">
        <v>1</v>
      </c>
      <c r="N5" t="n">
        <v>3</v>
      </c>
      <c r="O5" t="n">
        <v>4000</v>
      </c>
      <c r="P5" t="n">
        <v>3</v>
      </c>
      <c r="Q5" t="n">
        <v>330000</v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n">
        <v>27500</v>
      </c>
      <c r="E6" t="n">
        <v>0</v>
      </c>
      <c r="F6" t="n">
        <v>0</v>
      </c>
      <c r="G6" t="n">
        <v>0</v>
      </c>
      <c r="H6" t="inlineStr">
        <is>
          <t>N</t>
        </is>
      </c>
      <c r="I6" t="n">
        <v>27500</v>
      </c>
      <c r="J6" t="n">
        <v>27600</v>
      </c>
      <c r="K6" t="n">
        <v>26</v>
      </c>
      <c r="L6" t="n">
        <v>1</v>
      </c>
      <c r="M6" t="n">
        <v>1</v>
      </c>
      <c r="N6" t="n">
        <v>3</v>
      </c>
      <c r="O6" t="n">
        <v>4000</v>
      </c>
      <c r="P6" t="n">
        <v>4</v>
      </c>
      <c r="Q6" t="n">
        <v>330000</v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n">
        <v>27500</v>
      </c>
      <c r="E7" t="n">
        <v>0</v>
      </c>
      <c r="F7" t="n">
        <v>0</v>
      </c>
      <c r="G7" t="n">
        <v>0</v>
      </c>
      <c r="H7" t="inlineStr">
        <is>
          <t>N</t>
        </is>
      </c>
      <c r="I7" t="n">
        <v>27500</v>
      </c>
      <c r="J7" t="n">
        <v>27600</v>
      </c>
      <c r="K7" t="n">
        <v>26</v>
      </c>
      <c r="L7" t="n">
        <v>1</v>
      </c>
      <c r="M7" t="n">
        <v>1</v>
      </c>
      <c r="N7" t="n">
        <v>3</v>
      </c>
      <c r="O7" t="n">
        <v>4000</v>
      </c>
      <c r="P7" t="n">
        <v>5</v>
      </c>
      <c r="Q7" t="n">
        <v>330000</v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n">
        <v>27500</v>
      </c>
      <c r="E8" t="n">
        <v>0</v>
      </c>
      <c r="F8" t="n">
        <v>0</v>
      </c>
      <c r="G8" t="n">
        <v>0</v>
      </c>
      <c r="H8" t="inlineStr">
        <is>
          <t>N</t>
        </is>
      </c>
      <c r="I8" t="n">
        <v>27500</v>
      </c>
      <c r="J8" t="n">
        <v>27600</v>
      </c>
      <c r="K8" t="n">
        <v>26</v>
      </c>
      <c r="L8" t="n">
        <v>1</v>
      </c>
      <c r="M8" t="n">
        <v>1</v>
      </c>
      <c r="N8" t="n">
        <v>3</v>
      </c>
      <c r="O8" t="n">
        <v>4000</v>
      </c>
      <c r="P8" t="n">
        <v>6</v>
      </c>
      <c r="Q8" t="n">
        <v>330000</v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n">
        <v>27500</v>
      </c>
      <c r="E9" t="n">
        <v>0</v>
      </c>
      <c r="F9" t="n">
        <v>0</v>
      </c>
      <c r="G9" t="n">
        <v>0</v>
      </c>
      <c r="H9" t="inlineStr">
        <is>
          <t>N</t>
        </is>
      </c>
      <c r="I9" t="n">
        <v>27500</v>
      </c>
      <c r="J9" t="n">
        <v>27600</v>
      </c>
      <c r="K9" t="n">
        <v>26</v>
      </c>
      <c r="L9" t="n">
        <v>1</v>
      </c>
      <c r="M9" t="n">
        <v>1</v>
      </c>
      <c r="N9" t="n">
        <v>3</v>
      </c>
      <c r="O9" t="n">
        <v>4000</v>
      </c>
      <c r="P9" t="n">
        <v>7</v>
      </c>
      <c r="Q9" t="n">
        <v>330000</v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n">
        <v>27500</v>
      </c>
      <c r="E10" t="n">
        <v>0</v>
      </c>
      <c r="F10" t="n">
        <v>0</v>
      </c>
      <c r="G10" t="n">
        <v>0</v>
      </c>
      <c r="H10" t="inlineStr">
        <is>
          <t>N</t>
        </is>
      </c>
      <c r="I10" t="n">
        <v>27500</v>
      </c>
      <c r="J10" t="n">
        <v>27600</v>
      </c>
      <c r="K10" t="n">
        <v>26</v>
      </c>
      <c r="L10" t="n">
        <v>1</v>
      </c>
      <c r="M10" t="n">
        <v>1</v>
      </c>
      <c r="N10" t="n">
        <v>3</v>
      </c>
      <c r="O10" t="n">
        <v>4000</v>
      </c>
      <c r="P10" t="n">
        <v>8</v>
      </c>
      <c r="Q10" t="n">
        <v>330000</v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n">
        <v>27500</v>
      </c>
      <c r="E11" t="n">
        <v>0</v>
      </c>
      <c r="F11" t="n">
        <v>0</v>
      </c>
      <c r="G11" t="n">
        <v>0</v>
      </c>
      <c r="H11" t="inlineStr">
        <is>
          <t>N</t>
        </is>
      </c>
      <c r="I11" t="n">
        <v>27500</v>
      </c>
      <c r="J11" t="n">
        <v>27600</v>
      </c>
      <c r="K11" t="n">
        <v>26</v>
      </c>
      <c r="L11" t="n">
        <v>1</v>
      </c>
      <c r="M11" t="n">
        <v>1</v>
      </c>
      <c r="N11" t="n">
        <v>3</v>
      </c>
      <c r="O11" t="n">
        <v>4000</v>
      </c>
      <c r="P11" t="n">
        <v>9</v>
      </c>
      <c r="Q11" t="n">
        <v>330000</v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n">
        <v>27500</v>
      </c>
      <c r="E12" t="n">
        <v>0</v>
      </c>
      <c r="F12" t="n">
        <v>0</v>
      </c>
      <c r="G12" t="n">
        <v>0</v>
      </c>
      <c r="H12" t="inlineStr">
        <is>
          <t>N</t>
        </is>
      </c>
      <c r="I12" t="n">
        <v>27500</v>
      </c>
      <c r="J12" t="n">
        <v>27600</v>
      </c>
      <c r="K12" t="n">
        <v>26</v>
      </c>
      <c r="L12" t="n">
        <v>1</v>
      </c>
      <c r="M12" t="n">
        <v>1</v>
      </c>
      <c r="N12" t="n">
        <v>3</v>
      </c>
      <c r="O12" t="n">
        <v>4000</v>
      </c>
      <c r="P12" t="n">
        <v>10</v>
      </c>
      <c r="Q12" t="n">
        <v>330000</v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n">
        <v>27500</v>
      </c>
      <c r="E13" t="n">
        <v>0</v>
      </c>
      <c r="F13" t="n">
        <v>0</v>
      </c>
      <c r="G13" t="n">
        <v>0</v>
      </c>
      <c r="H13" t="inlineStr">
        <is>
          <t>N</t>
        </is>
      </c>
      <c r="I13" t="n">
        <v>27500</v>
      </c>
      <c r="J13" t="n">
        <v>27600</v>
      </c>
      <c r="K13" t="n">
        <v>26</v>
      </c>
      <c r="L13" t="n">
        <v>1</v>
      </c>
      <c r="M13" t="n">
        <v>1</v>
      </c>
      <c r="N13" t="n">
        <v>3</v>
      </c>
      <c r="O13" t="n">
        <v>4000</v>
      </c>
      <c r="P13" t="n">
        <v>11</v>
      </c>
      <c r="Q13" t="n">
        <v>330000</v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n">
        <v>27500</v>
      </c>
      <c r="E14" t="n">
        <v>0</v>
      </c>
      <c r="F14" t="n">
        <v>0</v>
      </c>
      <c r="G14" t="n">
        <v>0</v>
      </c>
      <c r="H14" t="inlineStr">
        <is>
          <t>N</t>
        </is>
      </c>
      <c r="I14" t="n">
        <v>27500</v>
      </c>
      <c r="J14" t="n">
        <v>27600</v>
      </c>
      <c r="K14" t="n">
        <v>26</v>
      </c>
      <c r="L14" t="n">
        <v>1</v>
      </c>
      <c r="M14" t="n">
        <v>1</v>
      </c>
      <c r="N14" t="n">
        <v>3</v>
      </c>
      <c r="O14" t="n">
        <v>4000</v>
      </c>
      <c r="P14" t="n">
        <v>0</v>
      </c>
      <c r="Q14" t="n">
        <v>82500</v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n">
        <v>27500</v>
      </c>
      <c r="E15" t="n">
        <v>0</v>
      </c>
      <c r="F15" t="n">
        <v>0</v>
      </c>
      <c r="G15" t="n">
        <v>0</v>
      </c>
      <c r="H15" t="inlineStr">
        <is>
          <t>N</t>
        </is>
      </c>
      <c r="I15" t="n">
        <v>27500</v>
      </c>
      <c r="J15" t="n">
        <v>27600</v>
      </c>
      <c r="K15" t="n">
        <v>26</v>
      </c>
      <c r="L15" t="n">
        <v>1</v>
      </c>
      <c r="M15" t="n">
        <v>1</v>
      </c>
      <c r="N15" t="n">
        <v>3</v>
      </c>
      <c r="O15" t="n">
        <v>4000</v>
      </c>
      <c r="P15" t="n">
        <v>1</v>
      </c>
      <c r="Q15" t="n">
        <v>82500</v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n">
        <v>27500</v>
      </c>
      <c r="E16" t="n">
        <v>0</v>
      </c>
      <c r="F16" t="n">
        <v>0</v>
      </c>
      <c r="G16" t="n">
        <v>0</v>
      </c>
      <c r="H16" t="inlineStr">
        <is>
          <t>N</t>
        </is>
      </c>
      <c r="I16" t="n">
        <v>27500</v>
      </c>
      <c r="J16" t="n">
        <v>27600</v>
      </c>
      <c r="K16" t="n">
        <v>26</v>
      </c>
      <c r="L16" t="n">
        <v>1</v>
      </c>
      <c r="M16" t="n">
        <v>1</v>
      </c>
      <c r="N16" t="n">
        <v>3</v>
      </c>
      <c r="O16" t="n">
        <v>4000</v>
      </c>
      <c r="P16" t="n">
        <v>2</v>
      </c>
      <c r="Q16" t="n">
        <v>82500</v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n">
        <v>13800</v>
      </c>
      <c r="E17" t="n">
        <v>0</v>
      </c>
      <c r="F17" t="n">
        <v>0</v>
      </c>
      <c r="G17" t="n">
        <v>0</v>
      </c>
      <c r="H17" t="inlineStr">
        <is>
          <t>D</t>
        </is>
      </c>
      <c r="I17" t="n">
        <v>13800</v>
      </c>
      <c r="J17" t="n">
        <v>13900</v>
      </c>
      <c r="K17" t="n">
        <v>26</v>
      </c>
      <c r="L17" t="n">
        <v>1</v>
      </c>
      <c r="M17" t="n">
        <v>1</v>
      </c>
      <c r="N17" t="n">
        <v>3</v>
      </c>
      <c r="O17" t="n">
        <v>2000</v>
      </c>
      <c r="P17" t="n">
        <v>0</v>
      </c>
      <c r="Q17" t="n">
        <v>69000</v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n">
        <v>13800</v>
      </c>
      <c r="E18" t="n">
        <v>0</v>
      </c>
      <c r="F18" t="n">
        <v>0</v>
      </c>
      <c r="G18" t="n">
        <v>0</v>
      </c>
      <c r="H18" t="inlineStr">
        <is>
          <t>D</t>
        </is>
      </c>
      <c r="I18" t="n">
        <v>13800</v>
      </c>
      <c r="J18" t="n">
        <v>13900</v>
      </c>
      <c r="K18" t="n">
        <v>26</v>
      </c>
      <c r="L18" t="n">
        <v>1</v>
      </c>
      <c r="M18" t="n">
        <v>1</v>
      </c>
      <c r="N18" t="n">
        <v>3</v>
      </c>
      <c r="O18" t="n">
        <v>2000</v>
      </c>
      <c r="P18" t="n">
        <v>1</v>
      </c>
      <c r="Q18" t="n">
        <v>69000</v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n">
        <v>13800</v>
      </c>
      <c r="E19" t="n">
        <v>0</v>
      </c>
      <c r="F19" t="n">
        <v>0</v>
      </c>
      <c r="G19" t="n">
        <v>0</v>
      </c>
      <c r="H19" t="inlineStr">
        <is>
          <t>D</t>
        </is>
      </c>
      <c r="I19" t="n">
        <v>13800</v>
      </c>
      <c r="J19" t="n">
        <v>13900</v>
      </c>
      <c r="K19" t="n">
        <v>26</v>
      </c>
      <c r="L19" t="n">
        <v>1</v>
      </c>
      <c r="M19" t="n">
        <v>1</v>
      </c>
      <c r="N19" t="n">
        <v>3</v>
      </c>
      <c r="O19" t="n">
        <v>2000</v>
      </c>
      <c r="P19" t="n">
        <v>2</v>
      </c>
      <c r="Q19" t="n">
        <v>69000</v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n">
        <v>13800</v>
      </c>
      <c r="E20" t="n">
        <v>0</v>
      </c>
      <c r="F20" t="n">
        <v>0</v>
      </c>
      <c r="G20" t="n">
        <v>0</v>
      </c>
      <c r="H20" t="inlineStr">
        <is>
          <t>D</t>
        </is>
      </c>
      <c r="I20" t="n">
        <v>13800</v>
      </c>
      <c r="J20" t="n">
        <v>13900</v>
      </c>
      <c r="K20" t="n">
        <v>26</v>
      </c>
      <c r="L20" t="n">
        <v>1</v>
      </c>
      <c r="M20" t="n">
        <v>1</v>
      </c>
      <c r="N20" t="n">
        <v>3</v>
      </c>
      <c r="O20" t="n">
        <v>2000</v>
      </c>
      <c r="P20" t="n">
        <v>3</v>
      </c>
      <c r="Q20" t="n">
        <v>69000</v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n">
        <v>13800</v>
      </c>
      <c r="E21" t="n">
        <v>0</v>
      </c>
      <c r="F21" t="n">
        <v>0</v>
      </c>
      <c r="G21" t="n">
        <v>0</v>
      </c>
      <c r="H21" t="inlineStr">
        <is>
          <t>D</t>
        </is>
      </c>
      <c r="I21" t="n">
        <v>13800</v>
      </c>
      <c r="J21" t="n">
        <v>13900</v>
      </c>
      <c r="K21" t="n">
        <v>26</v>
      </c>
      <c r="L21" t="n">
        <v>1</v>
      </c>
      <c r="M21" t="n">
        <v>1</v>
      </c>
      <c r="N21" t="n">
        <v>3</v>
      </c>
      <c r="O21" t="n">
        <v>2000</v>
      </c>
      <c r="P21" t="n">
        <v>4</v>
      </c>
      <c r="Q21" t="n">
        <v>69000</v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n">
        <v>13800</v>
      </c>
      <c r="E22" t="n">
        <v>0</v>
      </c>
      <c r="F22" t="n">
        <v>0</v>
      </c>
      <c r="G22" t="n">
        <v>0</v>
      </c>
      <c r="H22" t="inlineStr">
        <is>
          <t>D</t>
        </is>
      </c>
      <c r="I22" t="n">
        <v>13800</v>
      </c>
      <c r="J22" t="n">
        <v>13900</v>
      </c>
      <c r="K22" t="n">
        <v>26</v>
      </c>
      <c r="L22" t="n">
        <v>1</v>
      </c>
      <c r="M22" t="n">
        <v>1</v>
      </c>
      <c r="N22" t="n">
        <v>3</v>
      </c>
      <c r="O22" t="n">
        <v>2000</v>
      </c>
      <c r="P22" t="n">
        <v>0</v>
      </c>
      <c r="Q22" t="n">
        <v>41400</v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n">
        <v>13800</v>
      </c>
      <c r="E23" t="n">
        <v>0</v>
      </c>
      <c r="F23" t="n">
        <v>0</v>
      </c>
      <c r="G23" t="n">
        <v>0</v>
      </c>
      <c r="H23" t="inlineStr">
        <is>
          <t>D</t>
        </is>
      </c>
      <c r="I23" t="n">
        <v>13800</v>
      </c>
      <c r="J23" t="n">
        <v>13900</v>
      </c>
      <c r="K23" t="n">
        <v>26</v>
      </c>
      <c r="L23" t="n">
        <v>1</v>
      </c>
      <c r="M23" t="n">
        <v>1</v>
      </c>
      <c r="N23" t="n">
        <v>3</v>
      </c>
      <c r="O23" t="n">
        <v>2000</v>
      </c>
      <c r="P23" t="n">
        <v>1</v>
      </c>
      <c r="Q23" t="n">
        <v>41400</v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n">
        <v>13800</v>
      </c>
      <c r="E24" t="n">
        <v>0</v>
      </c>
      <c r="F24" t="n">
        <v>0</v>
      </c>
      <c r="G24" t="n">
        <v>0</v>
      </c>
      <c r="H24" t="inlineStr">
        <is>
          <t>D</t>
        </is>
      </c>
      <c r="I24" t="n">
        <v>13800</v>
      </c>
      <c r="J24" t="n">
        <v>13900</v>
      </c>
      <c r="K24" t="n">
        <v>26</v>
      </c>
      <c r="L24" t="n">
        <v>1</v>
      </c>
      <c r="M24" t="n">
        <v>1</v>
      </c>
      <c r="N24" t="n">
        <v>3</v>
      </c>
      <c r="O24" t="n">
        <v>2000</v>
      </c>
      <c r="P24" t="n">
        <v>2</v>
      </c>
      <c r="Q24" t="n">
        <v>41400</v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n">
        <v>13800</v>
      </c>
      <c r="E25" t="n">
        <v>0</v>
      </c>
      <c r="F25" t="n">
        <v>0</v>
      </c>
      <c r="G25" t="n">
        <v>0</v>
      </c>
      <c r="H25" t="inlineStr">
        <is>
          <t>D</t>
        </is>
      </c>
      <c r="I25" t="n">
        <v>13800</v>
      </c>
      <c r="J25" t="n">
        <v>13900</v>
      </c>
      <c r="K25" t="n">
        <v>26</v>
      </c>
      <c r="L25" t="n">
        <v>1</v>
      </c>
      <c r="M25" t="n">
        <v>1</v>
      </c>
      <c r="N25" t="n">
        <v>3</v>
      </c>
      <c r="O25" t="n">
        <v>2000</v>
      </c>
      <c r="P25" t="n">
        <v>0</v>
      </c>
      <c r="Q25" t="n">
        <v>27600</v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n">
        <v>13800</v>
      </c>
      <c r="E26" t="n">
        <v>0</v>
      </c>
      <c r="F26" t="n">
        <v>0</v>
      </c>
      <c r="G26" t="n">
        <v>0</v>
      </c>
      <c r="H26" t="inlineStr">
        <is>
          <t>D</t>
        </is>
      </c>
      <c r="I26" t="n">
        <v>13800</v>
      </c>
      <c r="J26" t="n">
        <v>13900</v>
      </c>
      <c r="K26" t="n">
        <v>26</v>
      </c>
      <c r="L26" t="n">
        <v>1</v>
      </c>
      <c r="M26" t="n">
        <v>1</v>
      </c>
      <c r="N26" t="n">
        <v>3</v>
      </c>
      <c r="O26" t="n">
        <v>2000</v>
      </c>
      <c r="P26" t="n">
        <v>1</v>
      </c>
      <c r="Q26" t="n">
        <v>27600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stt</t>
        </is>
      </c>
      <c r="B1" s="98" t="inlineStr">
        <is>
          <t>masanpham</t>
        </is>
      </c>
      <c r="C1" s="98" t="inlineStr">
        <is>
          <t>solo</t>
        </is>
      </c>
      <c r="D1" s="98" t="inlineStr">
        <is>
          <t>soluong</t>
        </is>
      </c>
      <c r="E1" s="98" t="inlineStr">
        <is>
          <t>ngayhethan</t>
        </is>
      </c>
      <c r="F1" s="98" t="inlineStr">
        <is>
          <t>ngaypass</t>
        </is>
      </c>
      <c r="G1" s="98" t="inlineStr">
        <is>
          <t>kieu</t>
        </is>
      </c>
    </row>
    <row r="2">
      <c r="A2" t="n">
        <v>13</v>
      </c>
      <c r="B2" t="inlineStr">
        <is>
          <t>RG75GA35153Y</t>
        </is>
      </c>
      <c r="C2" t="inlineStr">
        <is>
          <t>Y2506224</t>
        </is>
      </c>
      <c r="D2" t="n">
        <v>1800</v>
      </c>
      <c r="E2" s="100" t="n">
        <v>45992</v>
      </c>
      <c r="G2" t="inlineStr">
        <is>
          <t>RM</t>
        </is>
      </c>
    </row>
    <row r="3">
      <c r="A3" t="n">
        <v>14</v>
      </c>
      <c r="B3" t="inlineStr">
        <is>
          <t>RG75GA35153Y</t>
        </is>
      </c>
      <c r="C3" t="inlineStr">
        <is>
          <t>Y2506225</t>
        </is>
      </c>
      <c r="D3" t="n">
        <v>11980</v>
      </c>
      <c r="E3" s="100" t="n">
        <v>45992</v>
      </c>
      <c r="G3" t="inlineStr">
        <is>
          <t>RM</t>
        </is>
      </c>
    </row>
    <row r="4">
      <c r="A4" t="n">
        <v>15</v>
      </c>
      <c r="B4" t="inlineStr">
        <is>
          <t>RG75GA35153Y</t>
        </is>
      </c>
      <c r="C4" t="inlineStr">
        <is>
          <t>Y2506229</t>
        </is>
      </c>
      <c r="D4" t="n">
        <v>11980</v>
      </c>
      <c r="E4" s="100" t="n">
        <v>45992</v>
      </c>
      <c r="G4" t="inlineStr">
        <is>
          <t>RM</t>
        </is>
      </c>
    </row>
    <row r="5">
      <c r="A5" t="n">
        <v>16</v>
      </c>
      <c r="B5" t="inlineStr">
        <is>
          <t>RG75GA35153Y</t>
        </is>
      </c>
      <c r="C5" t="inlineStr">
        <is>
          <t>Y2506289</t>
        </is>
      </c>
      <c r="D5" t="n">
        <v>11980</v>
      </c>
      <c r="E5" s="100" t="n">
        <v>45995</v>
      </c>
      <c r="G5" t="inlineStr">
        <is>
          <t>RM</t>
        </is>
      </c>
    </row>
    <row r="6">
      <c r="A6" t="n">
        <v>17</v>
      </c>
      <c r="B6" t="inlineStr">
        <is>
          <t>RG75GA35153Y</t>
        </is>
      </c>
      <c r="C6" t="inlineStr">
        <is>
          <t>Y2506295</t>
        </is>
      </c>
      <c r="D6" t="n">
        <v>11980</v>
      </c>
      <c r="E6" s="100" t="n">
        <v>45996</v>
      </c>
      <c r="G6" t="inlineStr">
        <is>
          <t>RM</t>
        </is>
      </c>
    </row>
    <row r="7">
      <c r="A7" t="n">
        <v>18</v>
      </c>
      <c r="B7" t="inlineStr">
        <is>
          <t>RG75GA35153Y</t>
        </is>
      </c>
      <c r="C7" t="inlineStr">
        <is>
          <t>Y2506300</t>
        </is>
      </c>
      <c r="D7" t="n">
        <v>11980</v>
      </c>
      <c r="E7" s="100" t="n">
        <v>45996</v>
      </c>
      <c r="G7" t="inlineStr">
        <is>
          <t>RM</t>
        </is>
      </c>
    </row>
    <row r="8">
      <c r="A8" t="n">
        <v>19</v>
      </c>
      <c r="B8" t="inlineStr">
        <is>
          <t>RG75GA35153Y</t>
        </is>
      </c>
      <c r="C8" t="inlineStr">
        <is>
          <t>Y2506301</t>
        </is>
      </c>
      <c r="D8" t="n">
        <v>11980</v>
      </c>
      <c r="E8" s="100" t="n">
        <v>45997</v>
      </c>
      <c r="G8" t="inlineStr">
        <is>
          <t>RM</t>
        </is>
      </c>
    </row>
    <row r="9">
      <c r="A9" t="n">
        <v>20</v>
      </c>
      <c r="B9" t="inlineStr">
        <is>
          <t>RG75GA35153Y</t>
        </is>
      </c>
      <c r="C9" t="inlineStr">
        <is>
          <t>Y2506302</t>
        </is>
      </c>
      <c r="D9" t="n">
        <v>11980</v>
      </c>
      <c r="E9" s="100" t="n">
        <v>45997</v>
      </c>
      <c r="G9" t="inlineStr">
        <is>
          <t>RM</t>
        </is>
      </c>
    </row>
    <row r="10">
      <c r="A10" t="n">
        <v>21</v>
      </c>
      <c r="B10" t="inlineStr">
        <is>
          <t>RG75GA35153Y</t>
        </is>
      </c>
      <c r="C10" t="inlineStr">
        <is>
          <t>Y2506305</t>
        </is>
      </c>
      <c r="D10" t="n">
        <v>11980</v>
      </c>
      <c r="E10" s="100" t="n">
        <v>45997</v>
      </c>
      <c r="G10" t="inlineStr">
        <is>
          <t>RM</t>
        </is>
      </c>
    </row>
    <row r="11">
      <c r="A11" t="n">
        <v>22</v>
      </c>
      <c r="B11" t="inlineStr">
        <is>
          <t>RG75GA35153Y</t>
        </is>
      </c>
      <c r="C11" t="inlineStr">
        <is>
          <t>Y2506306</t>
        </is>
      </c>
      <c r="D11" t="n">
        <v>11980</v>
      </c>
      <c r="E11" s="100" t="n">
        <v>45998</v>
      </c>
      <c r="G11" t="inlineStr">
        <is>
          <t>RM</t>
        </is>
      </c>
    </row>
    <row r="12">
      <c r="A12" t="n">
        <v>23</v>
      </c>
      <c r="B12" t="inlineStr">
        <is>
          <t>RG75GA35153Y</t>
        </is>
      </c>
      <c r="C12" t="inlineStr">
        <is>
          <t>Y2506311</t>
        </is>
      </c>
      <c r="D12" t="n">
        <v>11980</v>
      </c>
      <c r="E12" s="100" t="n">
        <v>45999</v>
      </c>
      <c r="G12" t="inlineStr">
        <is>
          <t>RM</t>
        </is>
      </c>
    </row>
    <row r="13">
      <c r="A13" t="n">
        <v>24</v>
      </c>
      <c r="B13" t="inlineStr">
        <is>
          <t>RG75GA35153Y</t>
        </is>
      </c>
      <c r="C13" t="inlineStr">
        <is>
          <t>Y2506315</t>
        </is>
      </c>
      <c r="D13" t="n">
        <v>11980</v>
      </c>
      <c r="E13" s="100" t="n">
        <v>45999</v>
      </c>
      <c r="G13" t="inlineStr">
        <is>
          <t>RM</t>
        </is>
      </c>
    </row>
    <row r="14">
      <c r="A14" t="n">
        <v>25</v>
      </c>
      <c r="B14" t="inlineStr">
        <is>
          <t>RG75GA35153Y</t>
        </is>
      </c>
      <c r="C14" t="inlineStr">
        <is>
          <t>Y2506354</t>
        </is>
      </c>
      <c r="D14" t="n">
        <v>11980</v>
      </c>
      <c r="E14" s="100" t="n">
        <v>46002</v>
      </c>
      <c r="G14" t="inlineStr">
        <is>
          <t>RM</t>
        </is>
      </c>
    </row>
    <row r="15">
      <c r="A15" t="n">
        <v>26</v>
      </c>
      <c r="B15" t="inlineStr">
        <is>
          <t>RG75GA35153Y</t>
        </is>
      </c>
      <c r="C15" t="inlineStr">
        <is>
          <t>Y2506355</t>
        </is>
      </c>
      <c r="D15" t="n">
        <v>11980</v>
      </c>
      <c r="E15" s="100" t="n">
        <v>46002</v>
      </c>
      <c r="G15" t="inlineStr">
        <is>
          <t>RM</t>
        </is>
      </c>
    </row>
    <row r="16">
      <c r="A16" t="n">
        <v>27</v>
      </c>
      <c r="B16" t="inlineStr">
        <is>
          <t>RG75GA35153Y</t>
        </is>
      </c>
      <c r="C16" t="inlineStr">
        <is>
          <t>Y2506366</t>
        </is>
      </c>
      <c r="D16" t="n">
        <v>11980</v>
      </c>
      <c r="E16" s="100" t="n">
        <v>46002</v>
      </c>
      <c r="G16" t="inlineStr">
        <is>
          <t>RM</t>
        </is>
      </c>
    </row>
    <row r="17">
      <c r="A17" t="n">
        <v>28</v>
      </c>
      <c r="B17" t="inlineStr">
        <is>
          <t>RG75GA35153Y</t>
        </is>
      </c>
      <c r="C17" t="inlineStr">
        <is>
          <t>Y2507025</t>
        </is>
      </c>
      <c r="D17" t="n">
        <v>11980</v>
      </c>
      <c r="E17" s="100" t="n">
        <v>46003</v>
      </c>
      <c r="G17" t="inlineStr">
        <is>
          <t>RM</t>
        </is>
      </c>
    </row>
    <row r="18">
      <c r="A18" t="n">
        <v>29</v>
      </c>
      <c r="B18" t="inlineStr">
        <is>
          <t>RG75GA35153Y</t>
        </is>
      </c>
      <c r="C18" t="inlineStr">
        <is>
          <t>Y2507026</t>
        </is>
      </c>
      <c r="D18" t="n">
        <v>11980</v>
      </c>
      <c r="E18" s="100" t="n">
        <v>46003</v>
      </c>
      <c r="G18" t="inlineStr">
        <is>
          <t>RM</t>
        </is>
      </c>
    </row>
    <row r="19">
      <c r="A19" t="n">
        <v>30</v>
      </c>
      <c r="B19" t="inlineStr">
        <is>
          <t>RG75GA35153Y</t>
        </is>
      </c>
      <c r="C19" t="inlineStr">
        <is>
          <t>Y2507033</t>
        </is>
      </c>
      <c r="D19" t="n">
        <v>11980</v>
      </c>
      <c r="E19" s="100" t="n">
        <v>46004</v>
      </c>
      <c r="G19" t="inlineStr">
        <is>
          <t>RM</t>
        </is>
      </c>
    </row>
    <row r="20">
      <c r="A20" t="n">
        <v>31</v>
      </c>
      <c r="B20" t="inlineStr">
        <is>
          <t>RG75GA35153Y</t>
        </is>
      </c>
      <c r="C20" t="inlineStr">
        <is>
          <t>Y2507045</t>
        </is>
      </c>
      <c r="D20" t="n">
        <v>11980</v>
      </c>
      <c r="E20" s="100" t="n">
        <v>46006</v>
      </c>
      <c r="G20" t="inlineStr">
        <is>
          <t>RM</t>
        </is>
      </c>
    </row>
    <row r="21">
      <c r="A21" t="n">
        <v>32</v>
      </c>
      <c r="B21" t="inlineStr">
        <is>
          <t>RG75GA35153Y</t>
        </is>
      </c>
      <c r="C21" t="inlineStr">
        <is>
          <t>Y2507085</t>
        </is>
      </c>
      <c r="D21" t="n">
        <v>11980</v>
      </c>
      <c r="E21" s="100" t="n">
        <v>46004</v>
      </c>
      <c r="G21" t="inlineStr">
        <is>
          <t>RM</t>
        </is>
      </c>
    </row>
    <row r="22">
      <c r="A22" t="n">
        <v>33</v>
      </c>
      <c r="B22" t="inlineStr">
        <is>
          <t>RG75GA35153Y</t>
        </is>
      </c>
      <c r="C22" t="inlineStr">
        <is>
          <t>Y2507087</t>
        </is>
      </c>
      <c r="D22" t="n">
        <v>11980</v>
      </c>
      <c r="E22" s="100" t="n">
        <v>46006</v>
      </c>
      <c r="G22" t="inlineStr">
        <is>
          <t>RM</t>
        </is>
      </c>
    </row>
    <row r="23">
      <c r="A23" t="n">
        <v>34</v>
      </c>
      <c r="B23" t="inlineStr">
        <is>
          <t>RG75GA35153Y</t>
        </is>
      </c>
      <c r="C23" t="inlineStr">
        <is>
          <t>Y2507126</t>
        </is>
      </c>
      <c r="D23" t="n">
        <v>11980</v>
      </c>
      <c r="E23" s="100" t="n">
        <v>46009</v>
      </c>
      <c r="G23" t="inlineStr">
        <is>
          <t>RM</t>
        </is>
      </c>
    </row>
    <row r="24">
      <c r="A24" t="n">
        <v>35</v>
      </c>
      <c r="B24" t="inlineStr">
        <is>
          <t>RG75GA35153Y</t>
        </is>
      </c>
      <c r="C24" t="inlineStr">
        <is>
          <t>Y2507135</t>
        </is>
      </c>
      <c r="D24" t="n">
        <v>11980</v>
      </c>
      <c r="E24" s="100" t="n">
        <v>46011</v>
      </c>
      <c r="G24" t="inlineStr">
        <is>
          <t>RM</t>
        </is>
      </c>
    </row>
    <row r="25">
      <c r="A25" t="n">
        <v>36</v>
      </c>
      <c r="B25" t="inlineStr">
        <is>
          <t>RG75GA35153Y</t>
        </is>
      </c>
      <c r="C25" t="inlineStr">
        <is>
          <t>Y2507143</t>
        </is>
      </c>
      <c r="D25" t="n">
        <v>11980</v>
      </c>
      <c r="E25" s="100" t="n">
        <v>46011</v>
      </c>
      <c r="G25" t="inlineStr">
        <is>
          <t>RM</t>
        </is>
      </c>
    </row>
    <row r="26">
      <c r="A26" t="n">
        <v>37</v>
      </c>
      <c r="B26" t="inlineStr">
        <is>
          <t>RG75GA35153Y</t>
        </is>
      </c>
      <c r="C26" t="inlineStr">
        <is>
          <t>Y2507144</t>
        </is>
      </c>
      <c r="D26" t="n">
        <v>11980</v>
      </c>
      <c r="E26" s="100" t="n">
        <v>46012</v>
      </c>
      <c r="G26" t="inlineStr">
        <is>
          <t>RM</t>
        </is>
      </c>
    </row>
    <row r="27">
      <c r="A27" t="n">
        <v>38</v>
      </c>
      <c r="B27" t="inlineStr">
        <is>
          <t>RG75GA35153Y</t>
        </is>
      </c>
      <c r="C27" t="inlineStr">
        <is>
          <t>Y2507145</t>
        </is>
      </c>
      <c r="D27" t="n">
        <v>11980</v>
      </c>
      <c r="E27" s="100" t="n">
        <v>46012</v>
      </c>
      <c r="G27" t="inlineStr">
        <is>
          <t>RM</t>
        </is>
      </c>
    </row>
    <row r="28">
      <c r="A28" t="n">
        <v>39</v>
      </c>
      <c r="B28" t="inlineStr">
        <is>
          <t>RG75GA35153Y</t>
        </is>
      </c>
      <c r="C28" t="inlineStr">
        <is>
          <t>Y2507146</t>
        </is>
      </c>
      <c r="D28" t="n">
        <v>11980</v>
      </c>
      <c r="E28" s="100" t="n">
        <v>46012</v>
      </c>
      <c r="G28" t="inlineStr">
        <is>
          <t>RM</t>
        </is>
      </c>
    </row>
    <row r="29">
      <c r="A29" t="n">
        <v>40</v>
      </c>
      <c r="B29" t="inlineStr">
        <is>
          <t>RG75GA35153Y</t>
        </is>
      </c>
      <c r="C29" t="inlineStr">
        <is>
          <t>Y2507148</t>
        </is>
      </c>
      <c r="D29" t="n">
        <v>11980</v>
      </c>
      <c r="E29" s="100" t="n">
        <v>46012</v>
      </c>
      <c r="G29" t="inlineStr">
        <is>
          <t>RM</t>
        </is>
      </c>
    </row>
    <row r="30">
      <c r="A30" t="n">
        <v>41</v>
      </c>
      <c r="B30" t="inlineStr">
        <is>
          <t>RG75GA35153Y</t>
        </is>
      </c>
      <c r="C30" t="inlineStr">
        <is>
          <t>Y2507149</t>
        </is>
      </c>
      <c r="D30" t="n">
        <v>11980</v>
      </c>
      <c r="E30" s="100" t="n">
        <v>46013</v>
      </c>
      <c r="G30" t="inlineStr">
        <is>
          <t>RM</t>
        </is>
      </c>
    </row>
    <row r="31">
      <c r="A31" t="n">
        <v>42</v>
      </c>
      <c r="B31" t="inlineStr">
        <is>
          <t>RG75GA35153Y</t>
        </is>
      </c>
      <c r="C31" t="inlineStr">
        <is>
          <t>Y2507220</t>
        </is>
      </c>
      <c r="D31" t="n">
        <v>11980</v>
      </c>
      <c r="E31" s="100" t="n">
        <v>46016</v>
      </c>
      <c r="G31" t="inlineStr">
        <is>
          <t>RM</t>
        </is>
      </c>
    </row>
    <row r="32">
      <c r="A32" t="n">
        <v>43</v>
      </c>
      <c r="B32" t="inlineStr">
        <is>
          <t>RG75GA35153Y</t>
        </is>
      </c>
      <c r="C32" t="inlineStr">
        <is>
          <t>Y2507225</t>
        </is>
      </c>
      <c r="D32" t="n">
        <v>11980</v>
      </c>
      <c r="E32" s="100" t="n">
        <v>46016</v>
      </c>
      <c r="G32" t="inlineStr">
        <is>
          <t>RM</t>
        </is>
      </c>
    </row>
    <row r="33">
      <c r="A33" t="n">
        <v>44</v>
      </c>
      <c r="B33" t="inlineStr">
        <is>
          <t>RG75GA35153Y</t>
        </is>
      </c>
      <c r="C33" t="inlineStr">
        <is>
          <t>Y2507226</t>
        </is>
      </c>
      <c r="D33" t="n">
        <v>11980</v>
      </c>
      <c r="E33" s="100" t="n">
        <v>46017</v>
      </c>
      <c r="G33" t="inlineStr">
        <is>
          <t>RM</t>
        </is>
      </c>
    </row>
    <row r="34">
      <c r="A34" t="n">
        <v>45</v>
      </c>
      <c r="B34" t="inlineStr">
        <is>
          <t>RG75GA35153Y</t>
        </is>
      </c>
      <c r="C34" t="inlineStr">
        <is>
          <t>Y2507227</t>
        </is>
      </c>
      <c r="D34" t="n">
        <v>11980</v>
      </c>
      <c r="E34" s="100" t="n">
        <v>46017</v>
      </c>
      <c r="G34" t="inlineStr">
        <is>
          <t>RM</t>
        </is>
      </c>
    </row>
    <row r="35">
      <c r="A35" t="n">
        <v>46</v>
      </c>
      <c r="B35" t="inlineStr">
        <is>
          <t>RG75GA35153Y</t>
        </is>
      </c>
      <c r="C35" t="inlineStr">
        <is>
          <t>Y2507228</t>
        </is>
      </c>
      <c r="D35" t="n">
        <v>11980</v>
      </c>
      <c r="E35" s="100" t="n">
        <v>46017</v>
      </c>
      <c r="G35" t="inlineStr">
        <is>
          <t>RM</t>
        </is>
      </c>
    </row>
    <row r="36">
      <c r="A36" t="n">
        <v>47</v>
      </c>
      <c r="B36" t="inlineStr">
        <is>
          <t>RG75GA35153Y</t>
        </is>
      </c>
      <c r="C36" t="inlineStr">
        <is>
          <t>Y2507231</t>
        </is>
      </c>
      <c r="D36" t="n">
        <v>11980</v>
      </c>
      <c r="E36" s="100" t="n">
        <v>46017</v>
      </c>
      <c r="G36" t="inlineStr">
        <is>
          <t>RM</t>
        </is>
      </c>
    </row>
    <row r="37">
      <c r="A37" t="n">
        <v>48</v>
      </c>
      <c r="B37" t="inlineStr">
        <is>
          <t>RG75GA35153Y</t>
        </is>
      </c>
      <c r="C37" t="inlineStr">
        <is>
          <t>Y2507232</t>
        </is>
      </c>
      <c r="D37" t="n">
        <v>11980</v>
      </c>
      <c r="E37" s="100" t="n">
        <v>46018</v>
      </c>
      <c r="G37" t="inlineStr">
        <is>
          <t>RM</t>
        </is>
      </c>
    </row>
    <row r="38">
      <c r="A38" t="n">
        <v>49</v>
      </c>
      <c r="B38" t="inlineStr">
        <is>
          <t>RG75GA35153Y</t>
        </is>
      </c>
      <c r="C38" t="inlineStr">
        <is>
          <t>Y2507239</t>
        </is>
      </c>
      <c r="D38" t="n">
        <v>11980</v>
      </c>
      <c r="E38" s="100" t="n">
        <v>46019</v>
      </c>
      <c r="G38" t="inlineStr">
        <is>
          <t>RM</t>
        </is>
      </c>
    </row>
    <row r="39">
      <c r="A39" t="n">
        <v>50</v>
      </c>
      <c r="B39" t="inlineStr">
        <is>
          <t>RG75GA35153Y</t>
        </is>
      </c>
      <c r="C39" t="inlineStr">
        <is>
          <t>Y2507244</t>
        </is>
      </c>
      <c r="D39" t="n">
        <v>11980</v>
      </c>
      <c r="E39" s="100" t="n">
        <v>46019</v>
      </c>
      <c r="G39" t="inlineStr">
        <is>
          <t>RM</t>
        </is>
      </c>
    </row>
    <row r="40">
      <c r="A40" t="n">
        <v>51</v>
      </c>
      <c r="B40" t="inlineStr">
        <is>
          <t>RG75GA35153Y</t>
        </is>
      </c>
      <c r="C40" t="inlineStr">
        <is>
          <t>Y2507246</t>
        </is>
      </c>
      <c r="D40" t="n">
        <v>11980</v>
      </c>
      <c r="E40" s="100" t="n">
        <v>46020</v>
      </c>
      <c r="G40" t="inlineStr">
        <is>
          <t>RM</t>
        </is>
      </c>
    </row>
    <row r="41">
      <c r="A41" t="n">
        <v>52</v>
      </c>
      <c r="B41" t="inlineStr">
        <is>
          <t>RG75GA35153Y</t>
        </is>
      </c>
      <c r="C41" t="inlineStr">
        <is>
          <t>Y2507247</t>
        </is>
      </c>
      <c r="D41" t="n">
        <v>11980</v>
      </c>
      <c r="E41" s="100" t="n">
        <v>46020</v>
      </c>
      <c r="G41" t="inlineStr">
        <is>
          <t>RM</t>
        </is>
      </c>
    </row>
    <row r="42">
      <c r="A42" t="n">
        <v>53</v>
      </c>
      <c r="B42" t="inlineStr">
        <is>
          <t>RG75GA35153Y</t>
        </is>
      </c>
      <c r="C42" t="inlineStr">
        <is>
          <t>Y2507250</t>
        </is>
      </c>
      <c r="D42" t="n">
        <v>11980</v>
      </c>
      <c r="E42" s="100" t="n">
        <v>46020</v>
      </c>
      <c r="G42" t="inlineStr">
        <is>
          <t>RM</t>
        </is>
      </c>
    </row>
    <row r="43">
      <c r="A43" t="n">
        <v>54</v>
      </c>
      <c r="B43" t="inlineStr">
        <is>
          <t>RG75GA35153Y</t>
        </is>
      </c>
      <c r="C43" t="inlineStr">
        <is>
          <t>Y2507305</t>
        </is>
      </c>
      <c r="D43" t="n">
        <v>11980</v>
      </c>
      <c r="E43" s="100" t="n">
        <v>46023</v>
      </c>
      <c r="G43" t="inlineStr">
        <is>
          <t>RM</t>
        </is>
      </c>
    </row>
    <row r="44">
      <c r="A44" t="n">
        <v>55</v>
      </c>
      <c r="B44" t="inlineStr">
        <is>
          <t>RG75GA35153Y</t>
        </is>
      </c>
      <c r="C44" t="inlineStr">
        <is>
          <t>Y2507306</t>
        </is>
      </c>
      <c r="D44" t="n">
        <v>11980</v>
      </c>
      <c r="E44" s="100" t="n">
        <v>46023</v>
      </c>
      <c r="G44" t="inlineStr">
        <is>
          <t>RM</t>
        </is>
      </c>
    </row>
    <row r="45">
      <c r="A45" t="n">
        <v>56</v>
      </c>
      <c r="B45" t="inlineStr">
        <is>
          <t>RG75GA35153Y</t>
        </is>
      </c>
      <c r="C45" t="inlineStr">
        <is>
          <t>Y2507311</t>
        </is>
      </c>
      <c r="D45" t="n">
        <v>11980</v>
      </c>
      <c r="E45" s="100" t="n">
        <v>46024</v>
      </c>
      <c r="G45" t="inlineStr">
        <is>
          <t>RM</t>
        </is>
      </c>
    </row>
    <row r="46">
      <c r="A46" t="n">
        <v>57</v>
      </c>
      <c r="B46" t="inlineStr">
        <is>
          <t>RG75GA35153Y</t>
        </is>
      </c>
      <c r="C46" t="inlineStr">
        <is>
          <t>Y2507312</t>
        </is>
      </c>
      <c r="D46" t="n">
        <v>11980</v>
      </c>
      <c r="E46" s="100" t="n">
        <v>46024</v>
      </c>
      <c r="G46" t="inlineStr">
        <is>
          <t>RM</t>
        </is>
      </c>
    </row>
    <row r="47">
      <c r="A47" t="n">
        <v>58</v>
      </c>
      <c r="B47" t="inlineStr">
        <is>
          <t>RG75GA35153Y</t>
        </is>
      </c>
      <c r="C47" t="inlineStr">
        <is>
          <t>Y2507316</t>
        </is>
      </c>
      <c r="D47" t="n">
        <v>11980</v>
      </c>
      <c r="E47" s="100" t="n">
        <v>46024</v>
      </c>
      <c r="G47" t="inlineStr">
        <is>
          <t>RM</t>
        </is>
      </c>
    </row>
    <row r="48">
      <c r="A48" t="n">
        <v>59</v>
      </c>
      <c r="B48" t="inlineStr">
        <is>
          <t>RG75GA35153Y</t>
        </is>
      </c>
      <c r="C48" t="inlineStr">
        <is>
          <t>Y2507317</t>
        </is>
      </c>
      <c r="D48" t="n">
        <v>11980</v>
      </c>
      <c r="E48" s="100" t="n">
        <v>46025</v>
      </c>
      <c r="G48" t="inlineStr">
        <is>
          <t>RM</t>
        </is>
      </c>
    </row>
    <row r="49">
      <c r="A49" t="n">
        <v>60</v>
      </c>
      <c r="B49" t="inlineStr">
        <is>
          <t>RG75GA35153Y</t>
        </is>
      </c>
      <c r="C49" t="inlineStr">
        <is>
          <t>Y2507318</t>
        </is>
      </c>
      <c r="D49" t="n">
        <v>11980</v>
      </c>
      <c r="E49" s="100" t="n">
        <v>46025</v>
      </c>
      <c r="G49" t="inlineStr">
        <is>
          <t>RM</t>
        </is>
      </c>
    </row>
    <row r="50">
      <c r="A50" t="n">
        <v>61</v>
      </c>
      <c r="B50" t="inlineStr">
        <is>
          <t>RG75GA35153Y</t>
        </is>
      </c>
      <c r="C50" t="inlineStr">
        <is>
          <t>Y2507321</t>
        </is>
      </c>
      <c r="D50" t="n">
        <v>11980</v>
      </c>
      <c r="E50" s="100" t="n">
        <v>46025</v>
      </c>
      <c r="G50" t="inlineStr">
        <is>
          <t>RM</t>
        </is>
      </c>
    </row>
    <row r="51">
      <c r="A51" t="n">
        <v>62</v>
      </c>
      <c r="B51" t="inlineStr">
        <is>
          <t>RG75GA35153Y</t>
        </is>
      </c>
      <c r="C51" t="inlineStr">
        <is>
          <t>Y2507322</t>
        </is>
      </c>
      <c r="D51" t="n">
        <v>11980</v>
      </c>
      <c r="E51" s="100" t="n">
        <v>46026</v>
      </c>
      <c r="G51" t="inlineStr">
        <is>
          <t>RM</t>
        </is>
      </c>
    </row>
    <row r="52">
      <c r="A52" t="n">
        <v>63</v>
      </c>
      <c r="B52" t="inlineStr">
        <is>
          <t>RG75GA35153Y</t>
        </is>
      </c>
      <c r="C52" t="inlineStr">
        <is>
          <t>Y2507323</t>
        </is>
      </c>
      <c r="D52" t="n">
        <v>11980</v>
      </c>
      <c r="E52" s="100" t="n">
        <v>46026</v>
      </c>
      <c r="G52" t="inlineStr">
        <is>
          <t>RM</t>
        </is>
      </c>
    </row>
    <row r="53">
      <c r="A53" t="n">
        <v>64</v>
      </c>
      <c r="B53" t="inlineStr">
        <is>
          <t>RG75GA35153Y</t>
        </is>
      </c>
      <c r="C53" t="inlineStr">
        <is>
          <t>Y2507328</t>
        </is>
      </c>
      <c r="D53" t="n">
        <v>11980</v>
      </c>
      <c r="E53" s="100" t="n">
        <v>46026</v>
      </c>
      <c r="G53" t="inlineStr">
        <is>
          <t>RM</t>
        </is>
      </c>
    </row>
    <row r="54">
      <c r="A54" t="n">
        <v>65</v>
      </c>
      <c r="B54" t="inlineStr">
        <is>
          <t>RG75GA35153Y</t>
        </is>
      </c>
      <c r="C54" t="inlineStr">
        <is>
          <t>Y2507329</t>
        </is>
      </c>
      <c r="D54" t="n">
        <v>11980</v>
      </c>
      <c r="E54" s="100" t="n">
        <v>46027</v>
      </c>
      <c r="G54" t="inlineStr">
        <is>
          <t>RM</t>
        </is>
      </c>
    </row>
    <row r="55">
      <c r="A55" t="n">
        <v>66</v>
      </c>
      <c r="B55" t="inlineStr">
        <is>
          <t>RG75GA35153Y</t>
        </is>
      </c>
      <c r="C55" t="inlineStr">
        <is>
          <t>Y2507390</t>
        </is>
      </c>
      <c r="D55" t="n">
        <v>11980</v>
      </c>
      <c r="E55" s="100" t="n">
        <v>46030</v>
      </c>
      <c r="G55" t="inlineStr">
        <is>
          <t>RM</t>
        </is>
      </c>
    </row>
    <row r="56">
      <c r="A56" t="n">
        <v>67</v>
      </c>
      <c r="B56" t="inlineStr">
        <is>
          <t>RG75GA35153Y</t>
        </is>
      </c>
      <c r="C56" t="inlineStr">
        <is>
          <t>Y2507395</t>
        </is>
      </c>
      <c r="D56" t="n">
        <v>11980</v>
      </c>
      <c r="E56" s="100" t="n">
        <v>46030</v>
      </c>
      <c r="G56" t="inlineStr">
        <is>
          <t>RM</t>
        </is>
      </c>
    </row>
    <row r="57">
      <c r="A57" t="n">
        <v>68</v>
      </c>
      <c r="B57" t="inlineStr">
        <is>
          <t>RG75GA35153Y</t>
        </is>
      </c>
      <c r="C57" t="inlineStr">
        <is>
          <t>Y2507397</t>
        </is>
      </c>
      <c r="D57" t="n">
        <v>11980</v>
      </c>
      <c r="E57" s="100" t="n">
        <v>46031</v>
      </c>
      <c r="G57" t="inlineStr">
        <is>
          <t>RM</t>
        </is>
      </c>
    </row>
    <row r="58">
      <c r="A58" t="n">
        <v>69</v>
      </c>
      <c r="B58" t="inlineStr">
        <is>
          <t>RG75GA35153Y</t>
        </is>
      </c>
      <c r="C58" t="inlineStr">
        <is>
          <t>Y2507398</t>
        </is>
      </c>
      <c r="D58" t="n">
        <v>11980</v>
      </c>
      <c r="E58" s="100" t="n">
        <v>46031</v>
      </c>
      <c r="G58" t="inlineStr">
        <is>
          <t>RM</t>
        </is>
      </c>
    </row>
    <row r="59">
      <c r="A59" t="n">
        <v>70</v>
      </c>
      <c r="B59" t="inlineStr">
        <is>
          <t>RG75GA35153Y</t>
        </is>
      </c>
      <c r="C59" t="inlineStr">
        <is>
          <t>Y2507402</t>
        </is>
      </c>
      <c r="D59" t="n">
        <v>11980</v>
      </c>
      <c r="E59" s="100" t="n">
        <v>46031</v>
      </c>
      <c r="G59" t="inlineStr">
        <is>
          <t>RM</t>
        </is>
      </c>
    </row>
    <row r="60">
      <c r="A60" t="n">
        <v>71</v>
      </c>
      <c r="B60" t="inlineStr">
        <is>
          <t>RG75GA35153Y</t>
        </is>
      </c>
      <c r="C60" t="inlineStr">
        <is>
          <t>Y2507403</t>
        </is>
      </c>
      <c r="D60" t="n">
        <v>11980</v>
      </c>
      <c r="E60" s="100" t="n">
        <v>46032</v>
      </c>
      <c r="G60" t="inlineStr">
        <is>
          <t>RM</t>
        </is>
      </c>
    </row>
    <row r="61">
      <c r="A61" t="n">
        <v>72</v>
      </c>
      <c r="B61" t="inlineStr">
        <is>
          <t>RG75GA35153Y</t>
        </is>
      </c>
      <c r="C61" t="inlineStr">
        <is>
          <t>Y2507404</t>
        </is>
      </c>
      <c r="D61" t="n">
        <v>11980</v>
      </c>
      <c r="E61" s="100" t="n">
        <v>46032</v>
      </c>
      <c r="G61" t="inlineStr">
        <is>
          <t>RM</t>
        </is>
      </c>
    </row>
    <row r="62">
      <c r="A62" t="n">
        <v>73</v>
      </c>
      <c r="B62" t="inlineStr">
        <is>
          <t>RG75GA35153Y</t>
        </is>
      </c>
      <c r="C62" t="inlineStr">
        <is>
          <t>Y2507405</t>
        </is>
      </c>
      <c r="D62" t="n">
        <v>11980</v>
      </c>
      <c r="E62" s="100" t="n">
        <v>46032</v>
      </c>
      <c r="G62" t="inlineStr">
        <is>
          <t>RM</t>
        </is>
      </c>
    </row>
    <row r="63">
      <c r="A63" t="n">
        <v>74</v>
      </c>
      <c r="B63" t="inlineStr">
        <is>
          <t>RG75GA35153Y</t>
        </is>
      </c>
      <c r="C63" t="inlineStr">
        <is>
          <t>Y2507410</t>
        </is>
      </c>
      <c r="D63" t="n">
        <v>11980</v>
      </c>
      <c r="E63" s="100" t="n">
        <v>46033</v>
      </c>
      <c r="G63" t="inlineStr">
        <is>
          <t>RM</t>
        </is>
      </c>
    </row>
    <row r="64">
      <c r="A64" t="n">
        <v>75</v>
      </c>
      <c r="B64" t="inlineStr">
        <is>
          <t>RG75GA35153Y</t>
        </is>
      </c>
      <c r="C64" t="inlineStr">
        <is>
          <t>Y2507411</t>
        </is>
      </c>
      <c r="D64" t="n">
        <v>11980</v>
      </c>
      <c r="E64" s="100" t="n">
        <v>46033</v>
      </c>
      <c r="G64" t="inlineStr">
        <is>
          <t>RM</t>
        </is>
      </c>
    </row>
    <row r="65">
      <c r="A65" t="n">
        <v>76</v>
      </c>
      <c r="B65" t="inlineStr">
        <is>
          <t>RG75GA35153Y</t>
        </is>
      </c>
      <c r="C65" t="inlineStr">
        <is>
          <t>Y2507414</t>
        </is>
      </c>
      <c r="D65" t="n">
        <v>11980</v>
      </c>
      <c r="E65" s="100" t="n">
        <v>46033</v>
      </c>
      <c r="G65" t="inlineStr">
        <is>
          <t>RM</t>
        </is>
      </c>
    </row>
    <row r="66">
      <c r="A66" t="n">
        <v>77</v>
      </c>
      <c r="B66" t="inlineStr">
        <is>
          <t>RG75GA35153Y</t>
        </is>
      </c>
      <c r="C66" t="inlineStr">
        <is>
          <t>Y2508011</t>
        </is>
      </c>
      <c r="D66" t="n">
        <v>11980</v>
      </c>
      <c r="E66" s="100" t="n">
        <v>46034</v>
      </c>
      <c r="G66" t="inlineStr">
        <is>
          <t>RM</t>
        </is>
      </c>
    </row>
    <row r="67">
      <c r="A67" t="n">
        <v>78</v>
      </c>
      <c r="B67" t="inlineStr">
        <is>
          <t>RG75GA35153Y</t>
        </is>
      </c>
      <c r="C67" t="inlineStr">
        <is>
          <t>Y2508053</t>
        </is>
      </c>
      <c r="D67" t="n">
        <v>11980</v>
      </c>
      <c r="E67" s="100" t="n">
        <v>46037</v>
      </c>
      <c r="G67" t="inlineStr">
        <is>
          <t>RM</t>
        </is>
      </c>
    </row>
    <row r="68">
      <c r="A68" t="n">
        <v>79</v>
      </c>
      <c r="B68" t="inlineStr">
        <is>
          <t>RG75GA35153Y</t>
        </is>
      </c>
      <c r="C68" t="inlineStr">
        <is>
          <t>Y2508060</t>
        </is>
      </c>
      <c r="D68" t="n">
        <v>11980</v>
      </c>
      <c r="E68" s="100" t="n">
        <v>46038</v>
      </c>
      <c r="G68" t="inlineStr">
        <is>
          <t>RM</t>
        </is>
      </c>
    </row>
    <row r="69">
      <c r="A69" t="n">
        <v>80</v>
      </c>
      <c r="B69" t="inlineStr">
        <is>
          <t>RG75GA35153Y</t>
        </is>
      </c>
      <c r="C69" t="inlineStr">
        <is>
          <t>Y2508065</t>
        </is>
      </c>
      <c r="D69" t="n">
        <v>11980</v>
      </c>
      <c r="E69" s="100" t="n">
        <v>46038</v>
      </c>
      <c r="G69" t="inlineStr">
        <is>
          <t>RM</t>
        </is>
      </c>
    </row>
    <row r="70">
      <c r="A70" t="n">
        <v>81</v>
      </c>
      <c r="B70" t="inlineStr">
        <is>
          <t>RG75GA35153Y</t>
        </is>
      </c>
      <c r="C70" t="inlineStr">
        <is>
          <t>Y2508066</t>
        </is>
      </c>
      <c r="D70" t="n">
        <v>11980</v>
      </c>
      <c r="E70" s="100" t="n">
        <v>46039</v>
      </c>
      <c r="G70" t="inlineStr">
        <is>
          <t>RM</t>
        </is>
      </c>
    </row>
    <row r="71">
      <c r="A71" t="n">
        <v>82</v>
      </c>
      <c r="B71" t="inlineStr">
        <is>
          <t>RG75GA35153Y</t>
        </is>
      </c>
      <c r="C71" t="inlineStr">
        <is>
          <t>Y2508071</t>
        </is>
      </c>
      <c r="D71" t="n">
        <v>11980</v>
      </c>
      <c r="E71" s="100" t="n">
        <v>46039</v>
      </c>
      <c r="G71" t="inlineStr">
        <is>
          <t>RM</t>
        </is>
      </c>
    </row>
    <row r="72">
      <c r="A72" t="n">
        <v>83</v>
      </c>
      <c r="B72" t="inlineStr">
        <is>
          <t>RG75GA35153Y</t>
        </is>
      </c>
      <c r="C72" t="inlineStr">
        <is>
          <t>Y2508072</t>
        </is>
      </c>
      <c r="D72" t="n">
        <v>11980</v>
      </c>
      <c r="E72" s="100" t="n">
        <v>46040</v>
      </c>
      <c r="G72" t="inlineStr">
        <is>
          <t>RM</t>
        </is>
      </c>
    </row>
    <row r="73">
      <c r="A73" t="n">
        <v>84</v>
      </c>
      <c r="B73" t="inlineStr">
        <is>
          <t>RG75GA35153Y</t>
        </is>
      </c>
      <c r="C73" t="inlineStr">
        <is>
          <t>Y2508079</t>
        </is>
      </c>
      <c r="D73" t="n">
        <v>11980</v>
      </c>
      <c r="E73" s="100" t="n">
        <v>46041</v>
      </c>
      <c r="G73" t="inlineStr">
        <is>
          <t>RM</t>
        </is>
      </c>
    </row>
    <row r="74">
      <c r="A74" t="n">
        <v>85</v>
      </c>
      <c r="B74" t="inlineStr">
        <is>
          <t>RG75GA35153Y</t>
        </is>
      </c>
      <c r="C74" t="inlineStr">
        <is>
          <t>Y2508080</t>
        </is>
      </c>
      <c r="D74" t="n">
        <v>11980</v>
      </c>
      <c r="E74" s="100" t="n">
        <v>46041</v>
      </c>
      <c r="G74" t="inlineStr">
        <is>
          <t>RM</t>
        </is>
      </c>
    </row>
    <row r="75">
      <c r="A75" t="n">
        <v>86</v>
      </c>
      <c r="B75" t="inlineStr">
        <is>
          <t>RG75GA35153Y</t>
        </is>
      </c>
      <c r="C75" t="inlineStr">
        <is>
          <t>Y2508085</t>
        </is>
      </c>
      <c r="D75" t="n">
        <v>11980</v>
      </c>
      <c r="E75" s="100" t="n">
        <v>46041</v>
      </c>
      <c r="G75" t="inlineStr">
        <is>
          <t>RM</t>
        </is>
      </c>
    </row>
    <row r="76">
      <c r="A76" t="n">
        <v>87</v>
      </c>
      <c r="B76" t="inlineStr">
        <is>
          <t>RG75GA35153Y</t>
        </is>
      </c>
      <c r="C76" t="inlineStr">
        <is>
          <t>Y2508150</t>
        </is>
      </c>
      <c r="D76" t="n">
        <v>11980</v>
      </c>
      <c r="E76" s="100" t="n">
        <v>46041</v>
      </c>
      <c r="G76" t="inlineStr">
        <is>
          <t>RM</t>
        </is>
      </c>
    </row>
    <row r="77">
      <c r="A77" t="n">
        <v>88</v>
      </c>
      <c r="B77" t="inlineStr">
        <is>
          <t>RG75GA35153Y</t>
        </is>
      </c>
      <c r="C77" t="inlineStr">
        <is>
          <t>Y2508151</t>
        </is>
      </c>
      <c r="D77" t="n">
        <v>11980</v>
      </c>
      <c r="E77" s="100" t="n">
        <v>46041</v>
      </c>
      <c r="G77" t="inlineStr">
        <is>
          <t>RM</t>
        </is>
      </c>
    </row>
    <row r="78">
      <c r="A78" t="n">
        <v>89</v>
      </c>
      <c r="B78" t="inlineStr">
        <is>
          <t>RG75GA35153Y</t>
        </is>
      </c>
      <c r="C78" t="inlineStr">
        <is>
          <t>Y2508153</t>
        </is>
      </c>
      <c r="D78" t="n">
        <v>11980</v>
      </c>
      <c r="E78" s="100" t="n">
        <v>46042</v>
      </c>
      <c r="G78" t="inlineStr">
        <is>
          <t>RM</t>
        </is>
      </c>
    </row>
    <row r="79">
      <c r="A79" t="n">
        <v>90</v>
      </c>
      <c r="B79" t="inlineStr">
        <is>
          <t>RG75GA35153Y</t>
        </is>
      </c>
      <c r="C79" t="inlineStr">
        <is>
          <t>Y2508154</t>
        </is>
      </c>
      <c r="D79" t="n">
        <v>11980</v>
      </c>
      <c r="E79" s="100" t="n">
        <v>46042</v>
      </c>
      <c r="G79" t="inlineStr">
        <is>
          <t>RM</t>
        </is>
      </c>
    </row>
    <row r="80">
      <c r="A80" t="n">
        <v>91</v>
      </c>
      <c r="B80" t="inlineStr">
        <is>
          <t>RG75GA35153Y</t>
        </is>
      </c>
      <c r="C80" t="inlineStr">
        <is>
          <t>Y2508158</t>
        </is>
      </c>
      <c r="D80" t="n">
        <v>11980</v>
      </c>
      <c r="E80" s="100" t="n">
        <v>46042</v>
      </c>
      <c r="G80" t="inlineStr">
        <is>
          <t>RM</t>
        </is>
      </c>
    </row>
    <row r="81">
      <c r="A81" t="n">
        <v>92</v>
      </c>
      <c r="B81" t="inlineStr">
        <is>
          <t>RG75GA35153Y</t>
        </is>
      </c>
      <c r="C81" t="inlineStr">
        <is>
          <t>Y2508159</t>
        </is>
      </c>
      <c r="D81" t="n">
        <v>11980</v>
      </c>
      <c r="E81" s="100" t="n">
        <v>46043</v>
      </c>
      <c r="G81" t="inlineStr">
        <is>
          <t>RM</t>
        </is>
      </c>
    </row>
    <row r="82">
      <c r="A82" t="n">
        <v>93</v>
      </c>
      <c r="B82" t="inlineStr">
        <is>
          <t>RG75GA35153Y</t>
        </is>
      </c>
      <c r="C82" t="inlineStr">
        <is>
          <t>Y2508160</t>
        </is>
      </c>
      <c r="D82" t="n">
        <v>11980</v>
      </c>
      <c r="E82" s="100" t="n">
        <v>46043</v>
      </c>
      <c r="G82" t="inlineStr">
        <is>
          <t>RM</t>
        </is>
      </c>
    </row>
    <row r="83">
      <c r="A83" t="n">
        <v>94</v>
      </c>
      <c r="B83" t="inlineStr">
        <is>
          <t>RG75GA35153Y</t>
        </is>
      </c>
      <c r="C83" t="inlineStr">
        <is>
          <t>Y2508163</t>
        </is>
      </c>
      <c r="D83" t="n">
        <v>11980</v>
      </c>
      <c r="E83" s="100" t="n">
        <v>46044</v>
      </c>
      <c r="G83" t="inlineStr">
        <is>
          <t>RM</t>
        </is>
      </c>
    </row>
    <row r="84">
      <c r="A84" t="n">
        <v>95</v>
      </c>
      <c r="B84" t="inlineStr">
        <is>
          <t>RG75GA35153Y</t>
        </is>
      </c>
      <c r="C84" t="inlineStr">
        <is>
          <t>Y2508164</t>
        </is>
      </c>
      <c r="D84" t="n">
        <v>11980</v>
      </c>
      <c r="E84" s="100" t="n">
        <v>46044</v>
      </c>
      <c r="G84" t="inlineStr">
        <is>
          <t>RM</t>
        </is>
      </c>
    </row>
    <row r="85">
      <c r="A85" t="n">
        <v>96</v>
      </c>
      <c r="B85" t="inlineStr">
        <is>
          <t>RG75GA35153Y</t>
        </is>
      </c>
      <c r="C85" t="inlineStr">
        <is>
          <t>Y2508169</t>
        </is>
      </c>
      <c r="D85" t="n">
        <v>11980</v>
      </c>
      <c r="E85" s="100" t="n">
        <v>46044</v>
      </c>
      <c r="G85" t="inlineStr">
        <is>
          <t>RM</t>
        </is>
      </c>
    </row>
    <row r="86">
      <c r="A86" t="n">
        <v>97</v>
      </c>
      <c r="B86" t="inlineStr">
        <is>
          <t>RG75GA35153Y</t>
        </is>
      </c>
      <c r="C86" t="inlineStr">
        <is>
          <t>Y2508170</t>
        </is>
      </c>
      <c r="D86" t="n">
        <v>11980</v>
      </c>
      <c r="E86" s="100" t="n">
        <v>46045</v>
      </c>
      <c r="G86" t="inlineStr">
        <is>
          <t>RM</t>
        </is>
      </c>
    </row>
    <row r="87">
      <c r="A87" t="n">
        <v>98</v>
      </c>
      <c r="B87" t="inlineStr">
        <is>
          <t>RG75GA35153Y</t>
        </is>
      </c>
      <c r="C87" t="inlineStr">
        <is>
          <t>Y2508171</t>
        </is>
      </c>
      <c r="D87" t="n">
        <v>11980</v>
      </c>
      <c r="E87" s="100" t="n">
        <v>46045</v>
      </c>
      <c r="G87" t="inlineStr">
        <is>
          <t>RM</t>
        </is>
      </c>
    </row>
    <row r="88">
      <c r="A88" t="n">
        <v>99</v>
      </c>
      <c r="B88" t="inlineStr">
        <is>
          <t>RG75GA35153Y</t>
        </is>
      </c>
      <c r="C88" t="inlineStr">
        <is>
          <t>Y2508175</t>
        </is>
      </c>
      <c r="D88" t="n">
        <v>11980</v>
      </c>
      <c r="E88" s="100" t="n">
        <v>46045</v>
      </c>
      <c r="G88" t="inlineStr">
        <is>
          <t>RM</t>
        </is>
      </c>
    </row>
    <row r="89">
      <c r="A89" t="n">
        <v>100</v>
      </c>
      <c r="B89" t="inlineStr">
        <is>
          <t>RG75GA35153Y</t>
        </is>
      </c>
      <c r="C89" t="inlineStr">
        <is>
          <t>Y2508204</t>
        </is>
      </c>
      <c r="D89" t="n">
        <v>11980</v>
      </c>
      <c r="E89" s="100" t="n">
        <v>46048</v>
      </c>
      <c r="G89" t="inlineStr">
        <is>
          <t>RM</t>
        </is>
      </c>
    </row>
    <row r="90">
      <c r="A90" t="n">
        <v>101</v>
      </c>
      <c r="B90" t="inlineStr">
        <is>
          <t>RG75GA35153Y</t>
        </is>
      </c>
      <c r="C90" t="inlineStr">
        <is>
          <t>Y2508205</t>
        </is>
      </c>
      <c r="D90" t="n">
        <v>11980</v>
      </c>
      <c r="E90" s="100" t="n">
        <v>46048</v>
      </c>
      <c r="G90" t="inlineStr">
        <is>
          <t>RM</t>
        </is>
      </c>
    </row>
    <row r="91">
      <c r="A91" t="n">
        <v>102</v>
      </c>
      <c r="B91" t="inlineStr">
        <is>
          <t>RG75GA35153Y</t>
        </is>
      </c>
      <c r="C91" t="inlineStr">
        <is>
          <t>Y2508210</t>
        </is>
      </c>
      <c r="D91" t="n">
        <v>11980</v>
      </c>
      <c r="E91" s="100" t="n">
        <v>46049</v>
      </c>
      <c r="F91" s="100" t="n">
        <v>45945</v>
      </c>
      <c r="G91" t="inlineStr">
        <is>
          <t>RM</t>
        </is>
      </c>
    </row>
    <row r="92">
      <c r="A92" t="n">
        <v>103</v>
      </c>
      <c r="B92" t="inlineStr">
        <is>
          <t>RG75GA35153Y</t>
        </is>
      </c>
      <c r="C92" t="inlineStr">
        <is>
          <t>Y2508211</t>
        </is>
      </c>
      <c r="D92" t="n">
        <v>11980</v>
      </c>
      <c r="E92" s="100" t="n">
        <v>46049</v>
      </c>
      <c r="F92" s="100" t="n">
        <v>45945</v>
      </c>
      <c r="G92" t="inlineStr">
        <is>
          <t>RM</t>
        </is>
      </c>
    </row>
    <row r="93">
      <c r="A93" t="n">
        <v>104</v>
      </c>
      <c r="B93" t="inlineStr">
        <is>
          <t>RG75GA35153Y</t>
        </is>
      </c>
      <c r="C93" t="inlineStr">
        <is>
          <t>Y2508212</t>
        </is>
      </c>
      <c r="D93" t="n">
        <v>11980</v>
      </c>
      <c r="E93" s="100" t="n">
        <v>46049</v>
      </c>
      <c r="F93" s="100" t="n">
        <v>45945</v>
      </c>
      <c r="G93" t="inlineStr">
        <is>
          <t>RM</t>
        </is>
      </c>
    </row>
    <row r="94">
      <c r="A94" t="n">
        <v>105</v>
      </c>
      <c r="B94" t="inlineStr">
        <is>
          <t>RG75GA35153Y</t>
        </is>
      </c>
      <c r="C94" t="inlineStr">
        <is>
          <t>Y2508215</t>
        </is>
      </c>
      <c r="D94" t="n">
        <v>11980</v>
      </c>
      <c r="E94" s="100" t="n">
        <v>46049</v>
      </c>
      <c r="F94" s="100" t="n">
        <v>45945</v>
      </c>
      <c r="G94" t="inlineStr">
        <is>
          <t>RM</t>
        </is>
      </c>
    </row>
    <row r="95">
      <c r="A95" t="n">
        <v>106</v>
      </c>
      <c r="B95" t="inlineStr">
        <is>
          <t>RG75GA35153Y</t>
        </is>
      </c>
      <c r="C95" t="inlineStr">
        <is>
          <t>Y2508216</t>
        </is>
      </c>
      <c r="D95" t="n">
        <v>11980</v>
      </c>
      <c r="E95" s="100" t="n">
        <v>46050</v>
      </c>
      <c r="F95" s="100" t="n">
        <v>45945</v>
      </c>
      <c r="G95" t="inlineStr">
        <is>
          <t>RM</t>
        </is>
      </c>
    </row>
    <row r="96">
      <c r="A96" t="n">
        <v>107</v>
      </c>
      <c r="B96" t="inlineStr">
        <is>
          <t>RG75GA35153Y</t>
        </is>
      </c>
      <c r="C96" t="inlineStr">
        <is>
          <t>Y2508217</t>
        </is>
      </c>
      <c r="D96" t="n">
        <v>11980</v>
      </c>
      <c r="E96" s="100" t="n">
        <v>46050</v>
      </c>
      <c r="F96" s="100" t="n">
        <v>45945</v>
      </c>
      <c r="G96" t="inlineStr">
        <is>
          <t>RM</t>
        </is>
      </c>
    </row>
    <row r="97">
      <c r="A97" t="n">
        <v>108</v>
      </c>
      <c r="B97" t="inlineStr">
        <is>
          <t>RG75GA35153Y</t>
        </is>
      </c>
      <c r="C97" t="inlineStr">
        <is>
          <t>Y2508221</t>
        </is>
      </c>
      <c r="D97" t="n">
        <v>11980</v>
      </c>
      <c r="E97" s="100" t="n">
        <v>46050</v>
      </c>
      <c r="F97" s="100" t="n">
        <v>45945</v>
      </c>
      <c r="G97" t="inlineStr">
        <is>
          <t>RM</t>
        </is>
      </c>
    </row>
    <row r="98">
      <c r="A98" t="n">
        <v>109</v>
      </c>
      <c r="B98" t="inlineStr">
        <is>
          <t>RG75GA35153Y</t>
        </is>
      </c>
      <c r="C98" t="inlineStr">
        <is>
          <t>Y2508222</t>
        </is>
      </c>
      <c r="D98" t="n">
        <v>11980</v>
      </c>
      <c r="E98" s="100" t="n">
        <v>46051</v>
      </c>
      <c r="F98" s="100" t="n">
        <v>45945</v>
      </c>
      <c r="G98" t="inlineStr">
        <is>
          <t>RM</t>
        </is>
      </c>
    </row>
    <row r="99">
      <c r="A99" t="n">
        <v>110</v>
      </c>
      <c r="B99" t="inlineStr">
        <is>
          <t>RG75GA35153Y</t>
        </is>
      </c>
      <c r="C99" t="inlineStr">
        <is>
          <t>Y2508223</t>
        </is>
      </c>
      <c r="D99" t="n">
        <v>11980</v>
      </c>
      <c r="E99" s="100" t="n">
        <v>46051</v>
      </c>
      <c r="F99" s="100" t="n">
        <v>45945</v>
      </c>
      <c r="G99" t="inlineStr">
        <is>
          <t>RM</t>
        </is>
      </c>
    </row>
    <row r="100">
      <c r="A100" t="n">
        <v>111</v>
      </c>
      <c r="B100" t="inlineStr">
        <is>
          <t>RG75GA35153Y</t>
        </is>
      </c>
      <c r="C100" t="inlineStr">
        <is>
          <t>Y2508227</t>
        </is>
      </c>
      <c r="D100" t="n">
        <v>11980</v>
      </c>
      <c r="E100" s="100" t="n">
        <v>46051</v>
      </c>
      <c r="F100" s="100" t="n">
        <v>45945</v>
      </c>
      <c r="G100" t="inlineStr">
        <is>
          <t>RM</t>
        </is>
      </c>
    </row>
    <row r="101">
      <c r="A101" t="n">
        <v>112</v>
      </c>
      <c r="B101" t="inlineStr">
        <is>
          <t>RG75GA35153Y</t>
        </is>
      </c>
      <c r="C101" t="inlineStr">
        <is>
          <t>Y2508229</t>
        </is>
      </c>
      <c r="D101" t="n">
        <v>11980</v>
      </c>
      <c r="E101" s="100" t="n">
        <v>46052</v>
      </c>
      <c r="F101" s="100" t="n">
        <v>45945</v>
      </c>
      <c r="G101" t="inlineStr">
        <is>
          <t>RM</t>
        </is>
      </c>
    </row>
    <row r="102">
      <c r="A102" t="n">
        <v>113</v>
      </c>
      <c r="B102" t="inlineStr">
        <is>
          <t>RG75GA35153Y</t>
        </is>
      </c>
      <c r="C102" t="inlineStr">
        <is>
          <t>Y2508230</t>
        </is>
      </c>
      <c r="D102" t="n">
        <v>11980</v>
      </c>
      <c r="E102" s="100" t="n">
        <v>46052</v>
      </c>
      <c r="F102" s="100" t="n">
        <v>45957</v>
      </c>
      <c r="G102" t="inlineStr">
        <is>
          <t>RM</t>
        </is>
      </c>
    </row>
    <row r="103">
      <c r="A103" t="n">
        <v>114</v>
      </c>
      <c r="B103" t="inlineStr">
        <is>
          <t>RG75GA35153Y</t>
        </is>
      </c>
      <c r="C103" t="inlineStr">
        <is>
          <t>Y2509033</t>
        </is>
      </c>
      <c r="D103" t="n">
        <v>11980</v>
      </c>
      <c r="E103" s="100" t="n">
        <v>46065</v>
      </c>
      <c r="F103" s="100" t="n">
        <v>45957</v>
      </c>
      <c r="G103" t="inlineStr">
        <is>
          <t>RM</t>
        </is>
      </c>
    </row>
    <row r="104">
      <c r="A104" t="n">
        <v>115</v>
      </c>
      <c r="B104" t="inlineStr">
        <is>
          <t>RG75GA35153Y</t>
        </is>
      </c>
      <c r="C104" t="inlineStr">
        <is>
          <t>Y2509037</t>
        </is>
      </c>
      <c r="D104" t="n">
        <v>11980</v>
      </c>
      <c r="E104" s="100" t="n">
        <v>46065</v>
      </c>
      <c r="F104" s="100" t="n">
        <v>45957</v>
      </c>
      <c r="G104" t="inlineStr">
        <is>
          <t>RM</t>
        </is>
      </c>
    </row>
    <row r="105">
      <c r="A105" t="n">
        <v>116</v>
      </c>
      <c r="B105" t="inlineStr">
        <is>
          <t>RG75GA35153Y</t>
        </is>
      </c>
      <c r="C105" t="inlineStr">
        <is>
          <t>Y2509039</t>
        </is>
      </c>
      <c r="D105" t="n">
        <v>11980</v>
      </c>
      <c r="E105" s="100" t="n">
        <v>46066</v>
      </c>
      <c r="F105" s="100" t="n">
        <v>45957</v>
      </c>
      <c r="G105" t="inlineStr">
        <is>
          <t>RM</t>
        </is>
      </c>
    </row>
    <row r="106">
      <c r="A106" t="n">
        <v>117</v>
      </c>
      <c r="B106" t="inlineStr">
        <is>
          <t>RG75GA35153Y</t>
        </is>
      </c>
      <c r="C106" t="inlineStr">
        <is>
          <t>Y2509045</t>
        </is>
      </c>
      <c r="D106" t="n">
        <v>11980</v>
      </c>
      <c r="E106" s="100" t="n">
        <v>46066</v>
      </c>
      <c r="F106" s="100" t="n">
        <v>45957</v>
      </c>
      <c r="G106" t="inlineStr">
        <is>
          <t>RM</t>
        </is>
      </c>
    </row>
    <row r="107">
      <c r="A107" t="n">
        <v>118</v>
      </c>
      <c r="B107" t="inlineStr">
        <is>
          <t>RG75GA35153Y</t>
        </is>
      </c>
      <c r="C107" t="inlineStr">
        <is>
          <t>Y2509046</t>
        </is>
      </c>
      <c r="D107" t="n">
        <v>11980</v>
      </c>
      <c r="E107" s="100" t="n">
        <v>46067</v>
      </c>
      <c r="F107" s="100" t="n">
        <v>45957</v>
      </c>
      <c r="G107" t="inlineStr">
        <is>
          <t>RM</t>
        </is>
      </c>
    </row>
    <row r="108">
      <c r="A108" t="n">
        <v>119</v>
      </c>
      <c r="B108" t="inlineStr">
        <is>
          <t>RG75GA35153Y</t>
        </is>
      </c>
      <c r="C108" t="inlineStr">
        <is>
          <t>Y2509047</t>
        </is>
      </c>
      <c r="D108" t="n">
        <v>11980</v>
      </c>
      <c r="E108" s="100" t="n">
        <v>46067</v>
      </c>
      <c r="F108" s="100" t="n">
        <v>45957</v>
      </c>
      <c r="G108" t="inlineStr">
        <is>
          <t>RM</t>
        </is>
      </c>
    </row>
    <row r="109">
      <c r="A109" t="n">
        <v>120</v>
      </c>
      <c r="B109" t="inlineStr">
        <is>
          <t>RG75GA35153Y</t>
        </is>
      </c>
      <c r="C109" t="inlineStr">
        <is>
          <t>Y2509049</t>
        </is>
      </c>
      <c r="D109" t="n">
        <v>11980</v>
      </c>
      <c r="E109" s="100" t="n">
        <v>46067</v>
      </c>
      <c r="F109" s="100" t="n">
        <v>45957</v>
      </c>
      <c r="G109" t="inlineStr">
        <is>
          <t>RM</t>
        </is>
      </c>
    </row>
    <row r="110">
      <c r="A110" t="n">
        <v>121</v>
      </c>
      <c r="B110" t="inlineStr">
        <is>
          <t>RG75GA35153Y</t>
        </is>
      </c>
      <c r="C110" t="inlineStr">
        <is>
          <t>Y2509050</t>
        </is>
      </c>
      <c r="D110" t="n">
        <v>11980</v>
      </c>
      <c r="E110" s="100" t="n">
        <v>46068</v>
      </c>
      <c r="F110" s="100" t="n">
        <v>45957</v>
      </c>
      <c r="G110" t="inlineStr">
        <is>
          <t>RM</t>
        </is>
      </c>
    </row>
    <row r="111">
      <c r="A111" t="n">
        <v>122</v>
      </c>
      <c r="B111" t="inlineStr">
        <is>
          <t>RG75GA35153Y</t>
        </is>
      </c>
      <c r="C111" t="inlineStr">
        <is>
          <t>Y2509051</t>
        </is>
      </c>
      <c r="D111" t="n">
        <v>11980</v>
      </c>
      <c r="E111" s="100" t="n">
        <v>46068</v>
      </c>
      <c r="F111" s="100" t="n">
        <v>45972</v>
      </c>
      <c r="G111" t="inlineStr">
        <is>
          <t>RM</t>
        </is>
      </c>
    </row>
    <row r="112">
      <c r="A112" t="n">
        <v>123</v>
      </c>
      <c r="B112" t="inlineStr">
        <is>
          <t>RG75GA35153Y</t>
        </is>
      </c>
      <c r="C112" t="inlineStr">
        <is>
          <t>Y2509063</t>
        </is>
      </c>
      <c r="D112" t="n">
        <v>11980</v>
      </c>
      <c r="E112" s="100" t="n">
        <v>46069</v>
      </c>
      <c r="F112" s="100" t="n">
        <v>45972</v>
      </c>
      <c r="G112" t="inlineStr">
        <is>
          <t>RM</t>
        </is>
      </c>
    </row>
    <row r="113">
      <c r="A113" t="n">
        <v>124</v>
      </c>
      <c r="B113" t="inlineStr">
        <is>
          <t>RG75GA35153Y</t>
        </is>
      </c>
      <c r="C113" t="inlineStr">
        <is>
          <t>Y2509140</t>
        </is>
      </c>
      <c r="D113" t="n">
        <v>11980</v>
      </c>
      <c r="E113" s="100" t="n">
        <v>46072</v>
      </c>
      <c r="F113" s="100" t="n">
        <v>45972</v>
      </c>
      <c r="G113" t="inlineStr">
        <is>
          <t>RM</t>
        </is>
      </c>
    </row>
    <row r="114">
      <c r="A114" t="n">
        <v>125</v>
      </c>
      <c r="B114" t="inlineStr">
        <is>
          <t>RG75GA35153Y</t>
        </is>
      </c>
      <c r="C114" t="inlineStr">
        <is>
          <t>Y2509142</t>
        </is>
      </c>
      <c r="D114" t="n">
        <v>11980</v>
      </c>
      <c r="E114" s="100" t="n">
        <v>46073</v>
      </c>
      <c r="F114" s="100" t="n">
        <v>45972</v>
      </c>
      <c r="G114" t="inlineStr">
        <is>
          <t>RM</t>
        </is>
      </c>
    </row>
    <row r="115">
      <c r="A115" t="n">
        <v>126</v>
      </c>
      <c r="B115" t="inlineStr">
        <is>
          <t>RG75GA35153Y</t>
        </is>
      </c>
      <c r="C115" t="inlineStr">
        <is>
          <t>Y2509148</t>
        </is>
      </c>
      <c r="D115" t="n">
        <v>11980</v>
      </c>
      <c r="E115" s="100" t="n">
        <v>46073</v>
      </c>
      <c r="F115" s="100" t="n">
        <v>45972</v>
      </c>
      <c r="G115" t="inlineStr">
        <is>
          <t>RM</t>
        </is>
      </c>
    </row>
    <row r="116">
      <c r="A116" t="n">
        <v>127</v>
      </c>
      <c r="B116" t="inlineStr">
        <is>
          <t>RG75GA35153Y</t>
        </is>
      </c>
      <c r="C116" t="inlineStr">
        <is>
          <t>Y2509149</t>
        </is>
      </c>
      <c r="D116" t="n">
        <v>11980</v>
      </c>
      <c r="E116" s="100" t="n">
        <v>46074</v>
      </c>
      <c r="F116" s="100" t="n">
        <v>45972</v>
      </c>
      <c r="G116" t="inlineStr">
        <is>
          <t>RM</t>
        </is>
      </c>
    </row>
    <row r="117">
      <c r="A117" t="n">
        <v>128</v>
      </c>
      <c r="B117" t="inlineStr">
        <is>
          <t>RG75GA35153Y</t>
        </is>
      </c>
      <c r="C117" t="inlineStr">
        <is>
          <t>Y2509155</t>
        </is>
      </c>
      <c r="D117" t="n">
        <v>11980</v>
      </c>
      <c r="E117" s="100" t="n">
        <v>46075</v>
      </c>
      <c r="F117" s="100" t="n">
        <v>45972</v>
      </c>
      <c r="G117" t="inlineStr">
        <is>
          <t>RM</t>
        </is>
      </c>
    </row>
    <row r="118">
      <c r="A118" t="n">
        <v>129</v>
      </c>
      <c r="B118" t="inlineStr">
        <is>
          <t>RG75GA35153Y</t>
        </is>
      </c>
      <c r="C118" t="inlineStr">
        <is>
          <t>Y2509156</t>
        </is>
      </c>
      <c r="D118" t="n">
        <v>11980</v>
      </c>
      <c r="E118" s="100" t="n">
        <v>46075</v>
      </c>
      <c r="F118" s="100" t="n">
        <v>45972</v>
      </c>
      <c r="G118" t="inlineStr">
        <is>
          <t>RM</t>
        </is>
      </c>
    </row>
    <row r="119">
      <c r="A119" t="n">
        <v>130</v>
      </c>
      <c r="B119" t="inlineStr">
        <is>
          <t>RG75GA35153Y</t>
        </is>
      </c>
      <c r="C119" t="inlineStr">
        <is>
          <t>Y2509157</t>
        </is>
      </c>
      <c r="D119" t="n">
        <v>11980</v>
      </c>
      <c r="E119" s="100" t="n">
        <v>46075</v>
      </c>
      <c r="F119" s="100" t="n">
        <v>45972</v>
      </c>
      <c r="G119" t="inlineStr">
        <is>
          <t>RM</t>
        </is>
      </c>
    </row>
    <row r="120">
      <c r="A120" t="n">
        <v>131</v>
      </c>
      <c r="B120" t="inlineStr">
        <is>
          <t>RG75GA35153Y</t>
        </is>
      </c>
      <c r="C120" t="inlineStr">
        <is>
          <t>Y2509161</t>
        </is>
      </c>
      <c r="D120" t="n">
        <v>11980</v>
      </c>
      <c r="E120" s="100" t="n">
        <v>46075</v>
      </c>
      <c r="F120" s="100" t="n">
        <v>45972</v>
      </c>
      <c r="G120" t="inlineStr">
        <is>
          <t>RM</t>
        </is>
      </c>
    </row>
    <row r="121">
      <c r="A121" t="n">
        <v>132</v>
      </c>
      <c r="B121" t="inlineStr">
        <is>
          <t>RG75GA35153Y</t>
        </is>
      </c>
      <c r="C121" t="inlineStr">
        <is>
          <t>Y2509162</t>
        </is>
      </c>
      <c r="D121" t="n">
        <v>11980</v>
      </c>
      <c r="E121" s="100" t="n">
        <v>46076</v>
      </c>
      <c r="F121" s="100" t="n">
        <v>45972</v>
      </c>
      <c r="G121" t="inlineStr">
        <is>
          <t>RM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Y0</t>
        </is>
      </c>
      <c r="I1" s="98" t="inlineStr">
        <is>
          <t>Y1</t>
        </is>
      </c>
      <c r="J1" s="98" t="inlineStr">
        <is>
          <t>Y2</t>
        </is>
      </c>
      <c r="K1" s="98" t="inlineStr">
        <is>
          <t>Y3</t>
        </is>
      </c>
      <c r="L1" s="98" t="inlineStr">
        <is>
          <t>Y4</t>
        </is>
      </c>
      <c r="M1" s="98" t="inlineStr">
        <is>
          <t>Y5</t>
        </is>
      </c>
      <c r="N1" s="98" t="inlineStr">
        <is>
          <t>Y6</t>
        </is>
      </c>
      <c r="O1" s="98" t="inlineStr">
        <is>
          <t>Y7</t>
        </is>
      </c>
      <c r="P1" s="98" t="inlineStr">
        <is>
          <t>solot</t>
        </is>
      </c>
      <c r="Q1" s="98" t="inlineStr">
        <is>
          <t>tongsx</t>
        </is>
      </c>
      <c r="R1" s="98" t="inlineStr">
        <is>
          <t>mauedotoxin</t>
        </is>
      </c>
      <c r="S1" s="98" t="inlineStr">
        <is>
          <t>tongmau</t>
        </is>
      </c>
      <c r="T1" s="98" t="inlineStr">
        <is>
          <t>tongsanxuat</t>
        </is>
      </c>
      <c r="U1" s="98" t="inlineStr">
        <is>
          <t>lot_number</t>
        </is>
      </c>
      <c r="V1" s="98" t="inlineStr">
        <is>
          <t>tilechiemlot</t>
        </is>
      </c>
    </row>
    <row r="2">
      <c r="A2" t="n">
        <v>4</v>
      </c>
      <c r="B2" t="inlineStr">
        <is>
          <t>T</t>
        </is>
      </c>
      <c r="C2" t="inlineStr">
        <is>
          <t>RF*PA35153M</t>
        </is>
      </c>
      <c r="D2" t="n">
        <v>8000</v>
      </c>
      <c r="E2" t="n">
        <v>0</v>
      </c>
      <c r="F2" t="n">
        <v>0</v>
      </c>
      <c r="G2" t="n">
        <v>0</v>
      </c>
      <c r="H2" t="inlineStr">
        <is>
          <t>N</t>
        </is>
      </c>
      <c r="I2" t="n">
        <v>27500</v>
      </c>
      <c r="J2" t="n">
        <v>27600</v>
      </c>
      <c r="K2" t="n">
        <v>26</v>
      </c>
      <c r="L2" t="n">
        <v>1</v>
      </c>
      <c r="M2" t="n">
        <v>1</v>
      </c>
      <c r="N2" t="n">
        <v>3</v>
      </c>
      <c r="O2" t="n">
        <v>4000</v>
      </c>
      <c r="P2" t="inlineStr">
        <is>
          <t>0</t>
        </is>
      </c>
      <c r="Q2" t="n">
        <v>8000</v>
      </c>
      <c r="R2" t="n">
        <v>10</v>
      </c>
      <c r="S2" t="n">
        <v>41</v>
      </c>
      <c r="T2" t="n">
        <v>8041</v>
      </c>
      <c r="U2" t="inlineStr">
        <is>
          <t>LOT1</t>
        </is>
      </c>
      <c r="V2" t="n">
        <v>29.24</v>
      </c>
    </row>
    <row r="3">
      <c r="A3" t="n">
        <v>6</v>
      </c>
      <c r="B3" t="inlineStr">
        <is>
          <t>V</t>
        </is>
      </c>
      <c r="C3" t="inlineStr">
        <is>
          <t>RF*PA35183M</t>
        </is>
      </c>
      <c r="D3" t="n">
        <v>25000</v>
      </c>
      <c r="E3" t="n">
        <v>0</v>
      </c>
      <c r="F3" t="n">
        <v>0</v>
      </c>
      <c r="G3" t="n">
        <v>0</v>
      </c>
      <c r="H3" t="inlineStr">
        <is>
          <t>N</t>
        </is>
      </c>
      <c r="I3" t="n">
        <v>27500</v>
      </c>
      <c r="J3" t="n">
        <v>27600</v>
      </c>
      <c r="K3" t="n">
        <v>26</v>
      </c>
      <c r="L3" t="n">
        <v>1</v>
      </c>
      <c r="M3" t="n">
        <v>1</v>
      </c>
      <c r="N3" t="n">
        <v>3</v>
      </c>
      <c r="O3" t="n">
        <v>4000</v>
      </c>
      <c r="P3" t="inlineStr">
        <is>
          <t>0</t>
        </is>
      </c>
      <c r="Q3" t="n">
        <v>25000</v>
      </c>
      <c r="R3" t="n">
        <v>10</v>
      </c>
      <c r="S3" t="n">
        <v>41</v>
      </c>
      <c r="T3" t="n">
        <v>25041</v>
      </c>
      <c r="U3" t="inlineStr">
        <is>
          <t>LOT2</t>
        </is>
      </c>
      <c r="V3" t="n">
        <v>91.06</v>
      </c>
    </row>
    <row r="4">
      <c r="A4" t="n">
        <v>8</v>
      </c>
      <c r="B4" t="inlineStr">
        <is>
          <t>V</t>
        </is>
      </c>
      <c r="C4" t="inlineStr">
        <is>
          <t>RF*PA35153M</t>
        </is>
      </c>
      <c r="D4" t="n">
        <v>10000</v>
      </c>
      <c r="E4" t="n">
        <v>0</v>
      </c>
      <c r="F4" t="n">
        <v>0</v>
      </c>
      <c r="G4" t="n">
        <v>0</v>
      </c>
      <c r="H4" t="inlineStr">
        <is>
          <t>N</t>
        </is>
      </c>
      <c r="I4" t="n">
        <v>27500</v>
      </c>
      <c r="J4" t="n">
        <v>27600</v>
      </c>
      <c r="K4" t="n">
        <v>26</v>
      </c>
      <c r="L4" t="n">
        <v>1</v>
      </c>
      <c r="M4" t="n">
        <v>1</v>
      </c>
      <c r="N4" t="n">
        <v>3</v>
      </c>
      <c r="O4" t="n">
        <v>4000</v>
      </c>
      <c r="P4" t="inlineStr">
        <is>
          <t>0</t>
        </is>
      </c>
      <c r="Q4" t="n">
        <v>10000</v>
      </c>
      <c r="R4" t="n">
        <v>10</v>
      </c>
      <c r="S4" t="n">
        <v>41</v>
      </c>
      <c r="T4" t="n">
        <v>10041</v>
      </c>
      <c r="U4" t="inlineStr">
        <is>
          <t>LOT3</t>
        </is>
      </c>
      <c r="V4" t="n">
        <v>36.51</v>
      </c>
    </row>
    <row r="5">
      <c r="A5" t="n">
        <v>9</v>
      </c>
      <c r="B5" t="inlineStr">
        <is>
          <t>V</t>
        </is>
      </c>
      <c r="C5" t="inlineStr">
        <is>
          <t>RF*GA25153M</t>
        </is>
      </c>
      <c r="D5" t="n">
        <v>3225</v>
      </c>
      <c r="E5" t="n">
        <v>0</v>
      </c>
      <c r="F5" t="n">
        <v>0</v>
      </c>
      <c r="G5" t="n">
        <v>0</v>
      </c>
      <c r="H5" t="inlineStr">
        <is>
          <t>N</t>
        </is>
      </c>
      <c r="I5" t="n">
        <v>27500</v>
      </c>
      <c r="J5" t="n">
        <v>27600</v>
      </c>
      <c r="K5" t="n">
        <v>26</v>
      </c>
      <c r="L5" t="n">
        <v>1</v>
      </c>
      <c r="M5" t="n">
        <v>1</v>
      </c>
      <c r="N5" t="n">
        <v>3</v>
      </c>
      <c r="O5" t="n">
        <v>4000</v>
      </c>
      <c r="P5" t="inlineStr">
        <is>
          <t>0</t>
        </is>
      </c>
      <c r="Q5" t="n">
        <v>3225</v>
      </c>
      <c r="R5" t="n">
        <v>10</v>
      </c>
      <c r="S5" t="n">
        <v>41</v>
      </c>
      <c r="T5" t="n">
        <v>3266</v>
      </c>
      <c r="U5" t="inlineStr">
        <is>
          <t>LOT4</t>
        </is>
      </c>
      <c r="V5" t="n">
        <v>11.88</v>
      </c>
    </row>
    <row r="6">
      <c r="A6" t="n">
        <v>10</v>
      </c>
      <c r="B6" t="inlineStr">
        <is>
          <t>V</t>
        </is>
      </c>
      <c r="C6" t="inlineStr">
        <is>
          <t>RF*GS35183M</t>
        </is>
      </c>
      <c r="D6" t="n">
        <v>12350</v>
      </c>
      <c r="E6" t="n">
        <v>0</v>
      </c>
      <c r="F6" t="n">
        <v>0</v>
      </c>
      <c r="G6" t="n">
        <v>0</v>
      </c>
      <c r="H6" t="inlineStr">
        <is>
          <t>N</t>
        </is>
      </c>
      <c r="I6" t="n">
        <v>27500</v>
      </c>
      <c r="J6" t="n">
        <v>27600</v>
      </c>
      <c r="K6" t="n">
        <v>26</v>
      </c>
      <c r="L6" t="n">
        <v>1</v>
      </c>
      <c r="M6" t="n">
        <v>1</v>
      </c>
      <c r="N6" t="n">
        <v>3</v>
      </c>
      <c r="O6" t="n">
        <v>4000</v>
      </c>
      <c r="P6" t="inlineStr">
        <is>
          <t>0</t>
        </is>
      </c>
      <c r="Q6" t="n">
        <v>12350</v>
      </c>
      <c r="R6" t="n">
        <v>10</v>
      </c>
      <c r="S6" t="n">
        <v>41</v>
      </c>
      <c r="T6" t="n">
        <v>12391</v>
      </c>
      <c r="U6" t="inlineStr">
        <is>
          <t>LOT5</t>
        </is>
      </c>
      <c r="V6" t="n">
        <v>45.06</v>
      </c>
    </row>
    <row r="7">
      <c r="A7" t="n">
        <v>11</v>
      </c>
      <c r="B7" t="inlineStr">
        <is>
          <t>V</t>
        </is>
      </c>
      <c r="C7" t="inlineStr">
        <is>
          <t>RF*PS35263M</t>
        </is>
      </c>
      <c r="D7" t="n">
        <v>7000</v>
      </c>
      <c r="E7" t="n">
        <v>0</v>
      </c>
      <c r="F7" t="n">
        <v>0</v>
      </c>
      <c r="G7" t="n">
        <v>0</v>
      </c>
      <c r="H7" t="inlineStr">
        <is>
          <t>D</t>
        </is>
      </c>
      <c r="I7" t="n">
        <v>13800</v>
      </c>
      <c r="J7" t="n">
        <v>13900</v>
      </c>
      <c r="K7" t="n">
        <v>26</v>
      </c>
      <c r="L7" t="n">
        <v>1</v>
      </c>
      <c r="M7" t="n">
        <v>1</v>
      </c>
      <c r="N7" t="n">
        <v>3</v>
      </c>
      <c r="O7" t="n">
        <v>2000</v>
      </c>
      <c r="P7" t="inlineStr">
        <is>
          <t>0</t>
        </is>
      </c>
      <c r="Q7" t="n">
        <v>7000</v>
      </c>
      <c r="R7" t="n">
        <v>10</v>
      </c>
      <c r="S7" t="n">
        <v>41</v>
      </c>
      <c r="T7" t="n">
        <v>7041</v>
      </c>
      <c r="U7" t="inlineStr">
        <is>
          <t>LOT6</t>
        </is>
      </c>
      <c r="V7" t="n">
        <v>51.02</v>
      </c>
    </row>
    <row r="8">
      <c r="A8" t="n">
        <v>12</v>
      </c>
      <c r="B8" t="inlineStr">
        <is>
          <t>V</t>
        </is>
      </c>
      <c r="C8" t="inlineStr">
        <is>
          <t>RF*GA25183M</t>
        </is>
      </c>
      <c r="D8" t="n">
        <v>1525</v>
      </c>
      <c r="E8" t="n">
        <v>0</v>
      </c>
      <c r="F8" t="n">
        <v>0</v>
      </c>
      <c r="G8" t="n">
        <v>0</v>
      </c>
      <c r="H8" t="inlineStr">
        <is>
          <t>N</t>
        </is>
      </c>
      <c r="I8" t="n">
        <v>27500</v>
      </c>
      <c r="J8" t="n">
        <v>27600</v>
      </c>
      <c r="K8" t="n">
        <v>26</v>
      </c>
      <c r="L8" t="n">
        <v>1</v>
      </c>
      <c r="M8" t="n">
        <v>1</v>
      </c>
      <c r="N8" t="n">
        <v>3</v>
      </c>
      <c r="O8" t="n">
        <v>4000</v>
      </c>
      <c r="P8" t="inlineStr">
        <is>
          <t>0</t>
        </is>
      </c>
      <c r="Q8" t="n">
        <v>1525</v>
      </c>
      <c r="R8" t="n">
        <v>10</v>
      </c>
      <c r="S8" t="n">
        <v>41</v>
      </c>
      <c r="T8" t="n">
        <v>1566</v>
      </c>
      <c r="U8" t="inlineStr">
        <is>
          <t>LOT7</t>
        </is>
      </c>
      <c r="V8" t="n">
        <v>5.69</v>
      </c>
    </row>
    <row r="9">
      <c r="A9" t="n">
        <v>13</v>
      </c>
      <c r="B9" t="inlineStr">
        <is>
          <t>V</t>
        </is>
      </c>
      <c r="C9" t="inlineStr">
        <is>
          <t>RF*GS35223M</t>
        </is>
      </c>
      <c r="D9" t="n">
        <v>525</v>
      </c>
      <c r="E9" t="n">
        <v>0</v>
      </c>
      <c r="F9" t="n">
        <v>0</v>
      </c>
      <c r="G9" t="n">
        <v>0</v>
      </c>
      <c r="H9" t="inlineStr">
        <is>
          <t>D</t>
        </is>
      </c>
      <c r="I9" t="n">
        <v>13800</v>
      </c>
      <c r="J9" t="n">
        <v>13900</v>
      </c>
      <c r="K9" t="n">
        <v>26</v>
      </c>
      <c r="L9" t="n">
        <v>1</v>
      </c>
      <c r="M9" t="n">
        <v>1</v>
      </c>
      <c r="N9" t="n">
        <v>3</v>
      </c>
      <c r="O9" t="n">
        <v>2000</v>
      </c>
      <c r="P9" t="inlineStr">
        <is>
          <t>0</t>
        </is>
      </c>
      <c r="Q9" t="n">
        <v>525</v>
      </c>
      <c r="R9" t="n">
        <v>10</v>
      </c>
      <c r="S9" t="n">
        <v>41</v>
      </c>
      <c r="T9" t="n">
        <v>566</v>
      </c>
      <c r="U9" t="inlineStr">
        <is>
          <t>LOT8</t>
        </is>
      </c>
      <c r="V9" t="n">
        <v>4.1</v>
      </c>
    </row>
    <row r="10">
      <c r="A10" t="n">
        <v>14</v>
      </c>
      <c r="B10" t="inlineStr">
        <is>
          <t>V</t>
        </is>
      </c>
      <c r="C10" t="inlineStr">
        <is>
          <t>RF*PS38153M</t>
        </is>
      </c>
      <c r="D10" t="n">
        <v>525</v>
      </c>
      <c r="E10" t="n">
        <v>0</v>
      </c>
      <c r="F10" t="n">
        <v>0</v>
      </c>
      <c r="G10" t="n">
        <v>0</v>
      </c>
      <c r="H10" t="inlineStr">
        <is>
          <t>N</t>
        </is>
      </c>
      <c r="I10" t="n">
        <v>27500</v>
      </c>
      <c r="J10" t="n">
        <v>27600</v>
      </c>
      <c r="K10" t="n">
        <v>26</v>
      </c>
      <c r="L10" t="n">
        <v>1</v>
      </c>
      <c r="M10" t="n">
        <v>1</v>
      </c>
      <c r="N10" t="n">
        <v>3</v>
      </c>
      <c r="O10" t="n">
        <v>4000</v>
      </c>
      <c r="P10" t="inlineStr">
        <is>
          <t>0</t>
        </is>
      </c>
      <c r="Q10" t="n">
        <v>525</v>
      </c>
      <c r="R10" t="n">
        <v>10</v>
      </c>
      <c r="S10" t="n">
        <v>41</v>
      </c>
      <c r="T10" t="n">
        <v>566</v>
      </c>
      <c r="U10" t="inlineStr">
        <is>
          <t>LOT9</t>
        </is>
      </c>
      <c r="V10" t="n">
        <v>2.06</v>
      </c>
    </row>
    <row r="11">
      <c r="A11" t="n">
        <v>15</v>
      </c>
      <c r="B11" t="inlineStr">
        <is>
          <t>V</t>
        </is>
      </c>
      <c r="C11" t="inlineStr">
        <is>
          <t>RF*GA18153M</t>
        </is>
      </c>
      <c r="D11" t="n">
        <v>3275</v>
      </c>
      <c r="E11" t="n">
        <v>0</v>
      </c>
      <c r="F11" t="n">
        <v>0</v>
      </c>
      <c r="G11" t="n">
        <v>0</v>
      </c>
      <c r="H11" t="inlineStr">
        <is>
          <t>N</t>
        </is>
      </c>
      <c r="I11" t="n">
        <v>27500</v>
      </c>
      <c r="J11" t="n">
        <v>27600</v>
      </c>
      <c r="K11" t="n">
        <v>26</v>
      </c>
      <c r="L11" t="n">
        <v>1</v>
      </c>
      <c r="M11" t="n">
        <v>1</v>
      </c>
      <c r="N11" t="n">
        <v>3</v>
      </c>
      <c r="O11" t="n">
        <v>4000</v>
      </c>
      <c r="P11" t="inlineStr">
        <is>
          <t>0</t>
        </is>
      </c>
      <c r="Q11" t="n">
        <v>3275</v>
      </c>
      <c r="R11" t="n">
        <v>10</v>
      </c>
      <c r="S11" t="n">
        <v>41</v>
      </c>
      <c r="T11" t="n">
        <v>3316</v>
      </c>
      <c r="U11" t="inlineStr">
        <is>
          <t>LOT10</t>
        </is>
      </c>
      <c r="V11" t="n">
        <v>12.06</v>
      </c>
    </row>
    <row r="12">
      <c r="A12" t="n">
        <v>16</v>
      </c>
      <c r="B12" t="inlineStr">
        <is>
          <t>V</t>
        </is>
      </c>
      <c r="C12" t="inlineStr">
        <is>
          <t>RF*GS18263M</t>
        </is>
      </c>
      <c r="D12" t="n">
        <v>225</v>
      </c>
      <c r="E12" t="n">
        <v>0</v>
      </c>
      <c r="F12" t="n">
        <v>0</v>
      </c>
      <c r="G12" t="n">
        <v>0</v>
      </c>
      <c r="H12" t="inlineStr">
        <is>
          <t>D</t>
        </is>
      </c>
      <c r="I12" t="n">
        <v>13800</v>
      </c>
      <c r="J12" t="n">
        <v>13900</v>
      </c>
      <c r="K12" t="n">
        <v>26</v>
      </c>
      <c r="L12" t="n">
        <v>1</v>
      </c>
      <c r="M12" t="n">
        <v>1</v>
      </c>
      <c r="N12" t="n">
        <v>3</v>
      </c>
      <c r="O12" t="n">
        <v>2000</v>
      </c>
      <c r="P12" t="inlineStr">
        <is>
          <t>0</t>
        </is>
      </c>
      <c r="Q12" t="n">
        <v>225</v>
      </c>
      <c r="R12" t="n">
        <v>8</v>
      </c>
      <c r="S12" t="n">
        <v>39</v>
      </c>
      <c r="T12" t="n">
        <v>264</v>
      </c>
      <c r="U12" t="inlineStr">
        <is>
          <t>LOT11</t>
        </is>
      </c>
      <c r="V12" t="n">
        <v>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100882</dc:creator>
  <dcterms:created xmlns:dcterms="http://purl.org/dc/terms/" xmlns:xsi="http://www.w3.org/2001/XMLSchema-instance" xsi:type="dcterms:W3CDTF">2012-02-20T08:24:26Z</dcterms:created>
  <dcterms:modified xmlns:dcterms="http://purl.org/dc/terms/" xmlns:xsi="http://www.w3.org/2001/XMLSchema-instance" xsi:type="dcterms:W3CDTF">2025-10-22T07:51:44Z</dcterms:modified>
  <cp:lastModifiedBy>TVC IT Application</cp:lastModifiedBy>
</cp:coreProperties>
</file>